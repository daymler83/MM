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nleymorejon/Library/CloudStorage/GoogleDrive-manley.mm.drive@gmail.com/.shortcut-targets-by-id/1n3KjOGI79A-V0pl_9PQKrwgKSqOthQpL/GERENCIA DE OPERACIONES/Obras Ganadas/2025/13. RBHCS La Calera /EEPP Subcontrato /EEPP Ad /"/>
    </mc:Choice>
  </mc:AlternateContent>
  <xr:revisionPtr revIDLastSave="0" documentId="8_{2A4B6569-8AD7-D340-BCFB-9916B43C4E16}" xr6:coauthVersionLast="47" xr6:coauthVersionMax="47" xr10:uidLastSave="{00000000-0000-0000-0000-000000000000}"/>
  <bookViews>
    <workbookView xWindow="0" yWindow="0" windowWidth="28800" windowHeight="18000" tabRatio="816" xr2:uid="{00000000-000D-0000-FFFF-FFFF00000000}"/>
  </bookViews>
  <sheets>
    <sheet name="RESUMEN" sheetId="1" r:id="rId1"/>
    <sheet name="1" sheetId="14" r:id="rId2"/>
    <sheet name="2" sheetId="15" r:id="rId3"/>
    <sheet name="3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5" l="1"/>
  <c r="G31" i="15"/>
  <c r="K31" i="15" s="1"/>
  <c r="L28" i="15"/>
  <c r="G28" i="15"/>
  <c r="K28" i="15" s="1"/>
  <c r="L27" i="15"/>
  <c r="G27" i="15"/>
  <c r="K27" i="15" s="1"/>
  <c r="L26" i="15"/>
  <c r="G26" i="15"/>
  <c r="K26" i="15" s="1"/>
  <c r="M31" i="15" l="1"/>
  <c r="I31" i="15"/>
  <c r="I26" i="15"/>
  <c r="M26" i="15"/>
  <c r="M28" i="15"/>
  <c r="I27" i="15"/>
  <c r="M27" i="15"/>
  <c r="I28" i="15"/>
  <c r="L23" i="15" l="1"/>
  <c r="G23" i="15"/>
  <c r="K23" i="15" s="1"/>
  <c r="L22" i="15"/>
  <c r="G22" i="15"/>
  <c r="K22" i="15" s="1"/>
  <c r="I23" i="15" l="1"/>
  <c r="M23" i="15"/>
  <c r="M22" i="15"/>
  <c r="I22" i="15"/>
  <c r="C10" i="14"/>
  <c r="C8" i="14"/>
  <c r="C10" i="15"/>
  <c r="C8" i="15"/>
  <c r="L45" i="20" l="1"/>
  <c r="M45" i="20" s="1"/>
  <c r="K45" i="20"/>
  <c r="I45" i="20"/>
  <c r="L19" i="20"/>
  <c r="G19" i="20"/>
  <c r="I19" i="20" s="1"/>
  <c r="M13" i="20"/>
  <c r="C10" i="20"/>
  <c r="M8" i="20"/>
  <c r="C8" i="20"/>
  <c r="C7" i="20"/>
  <c r="C6" i="20"/>
  <c r="M5" i="20"/>
  <c r="M19" i="20" l="1"/>
  <c r="K19" i="20"/>
  <c r="K43" i="20" s="1"/>
  <c r="K44" i="20" s="1"/>
  <c r="K46" i="20" s="1"/>
  <c r="N21" i="1" s="1"/>
  <c r="I43" i="20"/>
  <c r="G43" i="20"/>
  <c r="M43" i="20" l="1"/>
  <c r="I44" i="20"/>
  <c r="I46" i="20" s="1"/>
  <c r="L21" i="1" s="1"/>
  <c r="K47" i="20"/>
  <c r="K48" i="20" s="1"/>
  <c r="G46" i="20"/>
  <c r="E21" i="1" s="1"/>
  <c r="E13" i="20"/>
  <c r="P21" i="1" l="1"/>
  <c r="R21" i="1"/>
  <c r="M44" i="20"/>
  <c r="M46" i="20" s="1"/>
  <c r="I47" i="20"/>
  <c r="I48" i="20" s="1"/>
  <c r="G47" i="20"/>
  <c r="G48" i="20" s="1"/>
  <c r="M47" i="20" l="1"/>
  <c r="M48" i="20" s="1"/>
  <c r="I21" i="1"/>
  <c r="L43" i="15" l="1"/>
  <c r="M43" i="15" s="1"/>
  <c r="K43" i="15"/>
  <c r="I43" i="15"/>
  <c r="L19" i="15"/>
  <c r="G19" i="15"/>
  <c r="K19" i="15" s="1"/>
  <c r="M13" i="15"/>
  <c r="M8" i="15"/>
  <c r="C7" i="15"/>
  <c r="C6" i="15"/>
  <c r="M5" i="15"/>
  <c r="L42" i="14"/>
  <c r="M42" i="14" s="1"/>
  <c r="K42" i="14"/>
  <c r="I42" i="14"/>
  <c r="L19" i="14"/>
  <c r="G19" i="14"/>
  <c r="K19" i="14" s="1"/>
  <c r="M13" i="14"/>
  <c r="M8" i="14"/>
  <c r="C7" i="14"/>
  <c r="C6" i="14"/>
  <c r="M5" i="14"/>
  <c r="K41" i="15" l="1"/>
  <c r="K42" i="15" s="1"/>
  <c r="K44" i="15" s="1"/>
  <c r="N20" i="1" s="1"/>
  <c r="M19" i="15"/>
  <c r="M19" i="14"/>
  <c r="G41" i="15"/>
  <c r="I19" i="15"/>
  <c r="G40" i="14"/>
  <c r="I19" i="14"/>
  <c r="K40" i="14" l="1"/>
  <c r="K41" i="14" s="1"/>
  <c r="K43" i="14" s="1"/>
  <c r="N19" i="1" s="1"/>
  <c r="M41" i="15"/>
  <c r="M42" i="15" s="1"/>
  <c r="M44" i="15" s="1"/>
  <c r="I20" i="1" s="1"/>
  <c r="I41" i="15"/>
  <c r="I42" i="15" s="1"/>
  <c r="I44" i="15" s="1"/>
  <c r="L20" i="1" s="1"/>
  <c r="I40" i="14"/>
  <c r="I41" i="14" s="1"/>
  <c r="I43" i="14" s="1"/>
  <c r="L19" i="1" s="1"/>
  <c r="M40" i="14"/>
  <c r="M41" i="14" s="1"/>
  <c r="M43" i="14" s="1"/>
  <c r="I19" i="1" s="1"/>
  <c r="K45" i="15"/>
  <c r="K46" i="15" s="1"/>
  <c r="E13" i="15"/>
  <c r="G44" i="15"/>
  <c r="E20" i="1" s="1"/>
  <c r="E13" i="14"/>
  <c r="G43" i="14"/>
  <c r="E19" i="1" s="1"/>
  <c r="R20" i="1" l="1"/>
  <c r="P20" i="1"/>
  <c r="K44" i="14"/>
  <c r="K45" i="14" s="1"/>
  <c r="P19" i="1"/>
  <c r="R19" i="1"/>
  <c r="I45" i="15"/>
  <c r="I46" i="15" s="1"/>
  <c r="M45" i="15"/>
  <c r="M46" i="15" s="1"/>
  <c r="G45" i="15"/>
  <c r="G46" i="15" s="1"/>
  <c r="I44" i="14"/>
  <c r="I45" i="14" s="1"/>
  <c r="M44" i="14"/>
  <c r="M45" i="14" s="1"/>
  <c r="G44" i="14"/>
  <c r="G45" i="14" s="1"/>
  <c r="E22" i="1" l="1"/>
  <c r="M22" i="1" l="1"/>
  <c r="E14" i="1" l="1"/>
  <c r="E15" i="1"/>
  <c r="N22" i="1" l="1"/>
  <c r="I22" i="1"/>
  <c r="L22" i="1"/>
  <c r="I24" i="1" l="1"/>
  <c r="I25" i="1" s="1"/>
  <c r="P22" i="1" l="1"/>
  <c r="E24" i="1" l="1"/>
  <c r="E25" i="1" s="1"/>
  <c r="R22" i="1"/>
</calcChain>
</file>

<file path=xl/sharedStrings.xml><?xml version="1.0" encoding="utf-8"?>
<sst xmlns="http://schemas.openxmlformats.org/spreadsheetml/2006/main" count="184" uniqueCount="94">
  <si>
    <t>al día</t>
  </si>
  <si>
    <t>a 15 días</t>
  </si>
  <si>
    <t>a 30 días</t>
  </si>
  <si>
    <t>Dirección:</t>
  </si>
  <si>
    <t>PLANILLA DE ESTADOS DE PAGO DE SUBCONTRATOS</t>
  </si>
  <si>
    <t>Comienzo de Obra:</t>
  </si>
  <si>
    <t>Cierre de Obra:</t>
  </si>
  <si>
    <t>PRSENTE</t>
  </si>
  <si>
    <t>Observación</t>
  </si>
  <si>
    <t>ACUMULADO</t>
  </si>
  <si>
    <t>ANTERIORES</t>
  </si>
  <si>
    <t>Saldo y/o Retención</t>
  </si>
  <si>
    <t>Nº</t>
  </si>
  <si>
    <t>SUBCONTRATISTA</t>
  </si>
  <si>
    <t>RUT</t>
  </si>
  <si>
    <t>CONCEPTO</t>
  </si>
  <si>
    <t>CONTRATO</t>
  </si>
  <si>
    <t>FACTURA</t>
  </si>
  <si>
    <t>F.pago</t>
  </si>
  <si>
    <t>CONTRATISTA</t>
  </si>
  <si>
    <t>TOTAL SUBCONTRATOS</t>
  </si>
  <si>
    <t>IVA</t>
  </si>
  <si>
    <t>Vº Bº ADMINISTRADOR OBRA</t>
  </si>
  <si>
    <t>OBRA</t>
  </si>
  <si>
    <t>UBICACIÓN</t>
  </si>
  <si>
    <t>Estado de pago</t>
  </si>
  <si>
    <t>DIRECCION</t>
  </si>
  <si>
    <t>R.U.T.</t>
  </si>
  <si>
    <t>Monto Contratado a la Fecha</t>
  </si>
  <si>
    <t>FECHA</t>
  </si>
  <si>
    <t>TOTAL</t>
  </si>
  <si>
    <t>Avance Acumulado</t>
  </si>
  <si>
    <t>Avance  E.P. 
ANTERIOR</t>
  </si>
  <si>
    <t>Presente</t>
  </si>
  <si>
    <t>ITEM</t>
  </si>
  <si>
    <t>DETALLE PARTIDAS</t>
  </si>
  <si>
    <t>a la  Fecha</t>
  </si>
  <si>
    <t>Estado de Pago</t>
  </si>
  <si>
    <t>%</t>
  </si>
  <si>
    <t>Monto $</t>
  </si>
  <si>
    <t>UN</t>
  </si>
  <si>
    <t>CANT</t>
  </si>
  <si>
    <t>PU</t>
  </si>
  <si>
    <t>SUB  TOTAL</t>
  </si>
  <si>
    <t>Retención</t>
  </si>
  <si>
    <t>NETO</t>
  </si>
  <si>
    <t>ru</t>
  </si>
  <si>
    <t>19%  VALOR  IVA</t>
  </si>
  <si>
    <t xml:space="preserve">TOTAL </t>
  </si>
  <si>
    <t>Constructora MM</t>
  </si>
  <si>
    <t xml:space="preserve">                   ESTADO DE PAGO Nº 1</t>
  </si>
  <si>
    <t>Obra:</t>
  </si>
  <si>
    <t>OC</t>
  </si>
  <si>
    <t>Fecha de Pago Oficina</t>
  </si>
  <si>
    <t>Avance Financiero</t>
  </si>
  <si>
    <t xml:space="preserve">Retención </t>
  </si>
  <si>
    <t>PAGO RETENCIONES</t>
  </si>
  <si>
    <t>a 45 días</t>
  </si>
  <si>
    <t>a 60 días</t>
  </si>
  <si>
    <t>a 90 días</t>
  </si>
  <si>
    <t>Días de Obra:</t>
  </si>
  <si>
    <t>Días de Obra</t>
  </si>
  <si>
    <t>no</t>
  </si>
  <si>
    <t>REMODELACION BAÑOS SHC LA CALERA</t>
  </si>
  <si>
    <t>MALL OPEN PLAZA LA CALERA</t>
  </si>
  <si>
    <t>FENOLICO EXPRESS</t>
  </si>
  <si>
    <t>DIVISIONES FENOLICAS</t>
  </si>
  <si>
    <t>UNI</t>
  </si>
  <si>
    <t>78007082-K</t>
  </si>
  <si>
    <t>JONATHAN PARDO</t>
  </si>
  <si>
    <t>GASFITER</t>
  </si>
  <si>
    <t>18.512.369-3</t>
  </si>
  <si>
    <t>ADICIONAL</t>
  </si>
  <si>
    <t>WOGE</t>
  </si>
  <si>
    <t>CUBREJUNTA</t>
  </si>
  <si>
    <t>AD 04 ESCUADRA ACERO INOX</t>
  </si>
  <si>
    <t>ADICIONALES</t>
  </si>
  <si>
    <t>CUBREJUNTA ACERO INOX</t>
  </si>
  <si>
    <t>ADICIONAL 04</t>
  </si>
  <si>
    <t>77.573.776-K</t>
  </si>
  <si>
    <t>Instalación llave paso de 3/4 sectorizacion lava manos A/F</t>
  </si>
  <si>
    <t>Instalación llave paso de 1" sectorizacion Duchas A/F</t>
  </si>
  <si>
    <r>
      <rPr>
        <sz val="10"/>
        <color rgb="FFFF0000"/>
        <rFont val="Century Gothic"/>
        <family val="2"/>
      </rPr>
      <t xml:space="preserve">AD 03 </t>
    </r>
    <r>
      <rPr>
        <sz val="10"/>
        <color rgb="FF000000"/>
        <rFont val="Century Gothic"/>
        <family val="2"/>
      </rPr>
      <t>CAMBIO DE LLAVE DE PASO WC: INCLUYE MATERIALES</t>
    </r>
  </si>
  <si>
    <t>ADICIONALES 03</t>
  </si>
  <si>
    <t>ADICIONALES 06</t>
  </si>
  <si>
    <t>ADICIONALES 08</t>
  </si>
  <si>
    <t>Instalacion de termo adicional</t>
  </si>
  <si>
    <t>Eliminacion de puntos de duchas existentes</t>
  </si>
  <si>
    <t>eliminacion de puntos de lavamanos existentes</t>
  </si>
  <si>
    <t>EEPP#03</t>
  </si>
  <si>
    <t>ADICIONAL 10</t>
  </si>
  <si>
    <t>FIJACIONES EN CAÑERIAS DE AGUA</t>
  </si>
  <si>
    <t>GL</t>
  </si>
  <si>
    <t>AD 10 EN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</si>
</sst>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164" formatCode="_-&quot;$&quot;* #,##0_-;\-&quot;$&quot;* #,##0_-;_-&quot;$&quot;* &quot;-&quot;_-;_-@_-"/>
    <numFmt numFmtId="165" formatCode="_-* #,##0.00_-;\-* #,##0.00_-;_-* &quot;-&quot;??_-;_-@_-"/>
    <numFmt numFmtId="166" formatCode="&quot; &quot;* #,##0&quot;     &quot;;&quot;-&quot;* #,##0&quot;     &quot;;&quot; &quot;* &quot;-&quot;??&quot;     &quot;"/>
    <numFmt numFmtId="167" formatCode="dd\-mm\-yyyy"/>
    <numFmt numFmtId="168" formatCode="&quot; &quot;&quot;$&quot;&quot; &quot;* #,##0&quot; &quot;;&quot;-&quot;&quot;$&quot;&quot; &quot;* #,##0&quot; &quot;;&quot; &quot;&quot;$&quot;&quot; &quot;* &quot;-&quot;??&quot; &quot;"/>
    <numFmt numFmtId="169" formatCode="#,##0.000"/>
    <numFmt numFmtId="170" formatCode="#,##0.0;[Red]#,##0.0"/>
    <numFmt numFmtId="171" formatCode="#,##0.000;[Red]#,##0.000"/>
    <numFmt numFmtId="172" formatCode="&quot;$&quot;#,##0;[Red]&quot;$&quot;#,##0"/>
    <numFmt numFmtId="173" formatCode="&quot; &quot;* #,##0.00&quot; &quot;;&quot;-&quot;* #,##0.00&quot; &quot;;&quot; &quot;* &quot;-&quot;??&quot; &quot;"/>
    <numFmt numFmtId="174" formatCode="0.000"/>
    <numFmt numFmtId="175" formatCode="_-&quot;$&quot;\ * #,##0.00_-;\-&quot;$&quot;\ * #,##0.00_-;_-&quot;$&quot;\ * &quot;-&quot;??_-;_-@_-"/>
    <numFmt numFmtId="176" formatCode="&quot; &quot;&quot;$&quot;&quot; &quot;* #,##0.00&quot; &quot;;&quot;-&quot;&quot;$&quot;&quot; &quot;* #,##0.00&quot; &quot;;&quot; &quot;&quot;$&quot;&quot; &quot;* &quot;-&quot;??&quot; &quot;"/>
    <numFmt numFmtId="177" formatCode="0.0"/>
    <numFmt numFmtId="178" formatCode="_ * #,##0.00_ ;_ * \-#,##0.00_ ;_ * &quot;-&quot;_ ;_ @_ "/>
  </numFmts>
  <fonts count="4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  <font>
      <b/>
      <sz val="10"/>
      <color rgb="FF000000"/>
      <name val="Century Gothic"/>
      <family val="2"/>
    </font>
    <font>
      <b/>
      <sz val="10"/>
      <color rgb="FF333399"/>
      <name val="Century Gothic"/>
      <family val="2"/>
    </font>
    <font>
      <sz val="18"/>
      <color rgb="FF333399"/>
      <name val="Century Gothic"/>
      <family val="2"/>
    </font>
    <font>
      <b/>
      <sz val="18"/>
      <color rgb="FF333399"/>
      <name val="Century Gothic"/>
      <family val="2"/>
    </font>
    <font>
      <b/>
      <sz val="18"/>
      <color rgb="FFFF2C21"/>
      <name val="Century Gothic"/>
      <family val="2"/>
    </font>
    <font>
      <sz val="10"/>
      <color rgb="FF333399"/>
      <name val="Century Gothic"/>
      <family val="2"/>
    </font>
    <font>
      <u/>
      <sz val="11"/>
      <color rgb="FF333399"/>
      <name val="Century Gothic"/>
      <family val="2"/>
    </font>
    <font>
      <b/>
      <sz val="11"/>
      <color rgb="FF333399"/>
      <name val="Century Gothic"/>
      <family val="2"/>
    </font>
    <font>
      <b/>
      <sz val="12"/>
      <color rgb="FF333399"/>
      <name val="Century Gothic"/>
      <family val="2"/>
    </font>
    <font>
      <b/>
      <sz val="10"/>
      <color rgb="FFFF0000"/>
      <name val="Century Gothic"/>
      <family val="2"/>
    </font>
    <font>
      <b/>
      <sz val="20"/>
      <color rgb="FF333399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Helvetica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sz val="12"/>
      <color rgb="FF000000"/>
      <name val="Century Gothic"/>
      <family val="2"/>
    </font>
    <font>
      <sz val="10"/>
      <color rgb="FF333399"/>
      <name val="Arial"/>
      <family val="2"/>
    </font>
    <font>
      <b/>
      <sz val="16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Arial Narrow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name val="Century Gothic"/>
      <family val="2"/>
    </font>
    <font>
      <b/>
      <sz val="11"/>
      <color rgb="FFDD0806"/>
      <name val="Century Gothic"/>
      <family val="2"/>
    </font>
    <font>
      <b/>
      <sz val="10"/>
      <name val="Century Gothic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entury Gothic"/>
      <family val="1"/>
    </font>
    <font>
      <b/>
      <u/>
      <sz val="18"/>
      <color rgb="FF333399"/>
      <name val="Century Gothic"/>
      <family val="1"/>
    </font>
    <font>
      <sz val="10"/>
      <name val="Helvetica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entury Gothic"/>
      <family val="1"/>
    </font>
    <font>
      <b/>
      <sz val="8"/>
      <color rgb="FF000000"/>
      <name val="Century Gothic"/>
      <family val="1"/>
    </font>
    <font>
      <b/>
      <sz val="11"/>
      <color rgb="FF000000"/>
      <name val="Century Gothic"/>
      <family val="1"/>
    </font>
    <font>
      <b/>
      <sz val="10"/>
      <color rgb="FFDD0806"/>
      <name val="Century Gothic"/>
      <family val="1"/>
    </font>
    <font>
      <sz val="10"/>
      <color theme="1"/>
      <name val="ArialMT"/>
    </font>
    <font>
      <sz val="12"/>
      <name val="Century Gothic"/>
      <family val="2"/>
    </font>
    <font>
      <sz val="10"/>
      <name val="Helv"/>
      <charset val="204"/>
    </font>
    <font>
      <b/>
      <sz val="12"/>
      <color theme="1"/>
      <name val="Calibri"/>
      <family val="2"/>
      <scheme val="minor"/>
    </font>
    <font>
      <sz val="10"/>
      <color rgb="FFFF0000"/>
      <name val="Century Gothic"/>
      <family val="2"/>
    </font>
    <font>
      <sz val="10"/>
      <color rgb="FFFF0000"/>
      <name val="Arial"/>
      <family val="2"/>
    </font>
    <font>
      <sz val="10"/>
      <color rgb="FF222222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33CCCC"/>
        <bgColor auto="1"/>
      </patternFill>
    </fill>
    <fill>
      <patternFill patternType="solid">
        <fgColor rgb="FF9CE159"/>
        <bgColor auto="1"/>
      </patternFill>
    </fill>
    <fill>
      <patternFill patternType="solid">
        <fgColor rgb="FF63B2DE"/>
        <bgColor auto="1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AAAAAA"/>
      </right>
      <top style="medium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000000"/>
      </bottom>
      <diagonal/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7">
    <xf numFmtId="0" fontId="0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65" fontId="32" fillId="0" borderId="0" applyFont="0" applyFill="0" applyBorder="0" applyAlignment="0" applyProtection="0"/>
    <xf numFmtId="0" fontId="32" fillId="0" borderId="0"/>
    <xf numFmtId="17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2" fillId="0" borderId="0"/>
    <xf numFmtId="0" fontId="4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2" fontId="32" fillId="0" borderId="0" applyFont="0" applyFill="0" applyBorder="0" applyAlignment="0" applyProtection="0"/>
  </cellStyleXfs>
  <cellXfs count="38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1" fontId="5" fillId="2" borderId="0" xfId="0" applyNumberFormat="1" applyFont="1" applyFill="1"/>
    <xf numFmtId="0" fontId="6" fillId="2" borderId="1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right"/>
    </xf>
    <xf numFmtId="1" fontId="6" fillId="2" borderId="8" xfId="0" applyNumberFormat="1" applyFont="1" applyFill="1" applyBorder="1" applyAlignment="1">
      <alignment horizontal="left"/>
    </xf>
    <xf numFmtId="1" fontId="5" fillId="2" borderId="2" xfId="0" applyNumberFormat="1" applyFont="1" applyFill="1" applyBorder="1"/>
    <xf numFmtId="166" fontId="8" fillId="2" borderId="0" xfId="0" applyNumberFormat="1" applyFont="1" applyFill="1"/>
    <xf numFmtId="0" fontId="9" fillId="2" borderId="0" xfId="0" applyFont="1" applyFill="1" applyAlignment="1">
      <alignment horizontal="right"/>
    </xf>
    <xf numFmtId="14" fontId="10" fillId="2" borderId="0" xfId="0" applyNumberFormat="1" applyFont="1" applyFill="1" applyAlignment="1">
      <alignment horizontal="left"/>
    </xf>
    <xf numFmtId="1" fontId="11" fillId="2" borderId="0" xfId="0" applyNumberFormat="1" applyFont="1" applyFill="1" applyAlignment="1">
      <alignment horizontal="right"/>
    </xf>
    <xf numFmtId="166" fontId="12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0" fontId="13" fillId="2" borderId="14" xfId="0" applyFont="1" applyFill="1" applyBorder="1" applyAlignment="1">
      <alignment horizontal="center"/>
    </xf>
    <xf numFmtId="1" fontId="13" fillId="2" borderId="5" xfId="0" applyNumberFormat="1" applyFont="1" applyFill="1" applyBorder="1" applyAlignment="1">
      <alignment horizontal="center"/>
    </xf>
    <xf numFmtId="0" fontId="2" fillId="2" borderId="15" xfId="0" applyFont="1" applyFill="1" applyBorder="1"/>
    <xf numFmtId="0" fontId="14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5" fillId="2" borderId="4" xfId="0" applyFont="1" applyFill="1" applyBorder="1"/>
    <xf numFmtId="0" fontId="15" fillId="5" borderId="3" xfId="0" applyFont="1" applyFill="1" applyBorder="1" applyAlignment="1">
      <alignment horizontal="center"/>
    </xf>
    <xf numFmtId="167" fontId="3" fillId="4" borderId="3" xfId="0" applyNumberFormat="1" applyFont="1" applyFill="1" applyBorder="1" applyAlignment="1">
      <alignment horizontal="center"/>
    </xf>
    <xf numFmtId="16" fontId="14" fillId="5" borderId="3" xfId="0" applyNumberFormat="1" applyFont="1" applyFill="1" applyBorder="1" applyAlignment="1">
      <alignment horizontal="center"/>
    </xf>
    <xf numFmtId="1" fontId="16" fillId="0" borderId="3" xfId="0" applyNumberFormat="1" applyFont="1" applyBorder="1" applyAlignment="1">
      <alignment horizontal="center"/>
    </xf>
    <xf numFmtId="1" fontId="14" fillId="0" borderId="3" xfId="0" applyNumberFormat="1" applyFont="1" applyBorder="1"/>
    <xf numFmtId="1" fontId="14" fillId="0" borderId="3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168" fontId="14" fillId="0" borderId="3" xfId="0" applyNumberFormat="1" applyFont="1" applyBorder="1"/>
    <xf numFmtId="1" fontId="18" fillId="0" borderId="3" xfId="0" applyNumberFormat="1" applyFont="1" applyBorder="1" applyAlignment="1">
      <alignment horizontal="center"/>
    </xf>
    <xf numFmtId="1" fontId="16" fillId="5" borderId="3" xfId="0" applyNumberFormat="1" applyFont="1" applyFill="1" applyBorder="1"/>
    <xf numFmtId="1" fontId="14" fillId="5" borderId="3" xfId="0" applyNumberFormat="1" applyFont="1" applyFill="1" applyBorder="1" applyAlignment="1">
      <alignment horizontal="center"/>
    </xf>
    <xf numFmtId="168" fontId="3" fillId="5" borderId="3" xfId="0" applyNumberFormat="1" applyFont="1" applyFill="1" applyBorder="1"/>
    <xf numFmtId="1" fontId="14" fillId="2" borderId="3" xfId="0" applyNumberFormat="1" applyFont="1" applyFill="1" applyBorder="1" applyAlignment="1">
      <alignment horizontal="center"/>
    </xf>
    <xf numFmtId="168" fontId="3" fillId="4" borderId="3" xfId="0" applyNumberFormat="1" applyFont="1" applyFill="1" applyBorder="1"/>
    <xf numFmtId="1" fontId="16" fillId="0" borderId="19" xfId="0" applyNumberFormat="1" applyFont="1" applyBorder="1"/>
    <xf numFmtId="1" fontId="16" fillId="0" borderId="7" xfId="0" applyNumberFormat="1" applyFont="1" applyBorder="1"/>
    <xf numFmtId="1" fontId="16" fillId="0" borderId="20" xfId="0" applyNumberFormat="1" applyFont="1" applyBorder="1"/>
    <xf numFmtId="1" fontId="16" fillId="0" borderId="21" xfId="0" applyNumberFormat="1" applyFont="1" applyBorder="1"/>
    <xf numFmtId="0" fontId="19" fillId="0" borderId="22" xfId="0" applyFont="1" applyBorder="1" applyAlignment="1">
      <alignment horizontal="right"/>
    </xf>
    <xf numFmtId="168" fontId="16" fillId="0" borderId="3" xfId="0" applyNumberFormat="1" applyFont="1" applyBorder="1"/>
    <xf numFmtId="1" fontId="16" fillId="0" borderId="23" xfId="0" applyNumberFormat="1" applyFont="1" applyBorder="1"/>
    <xf numFmtId="0" fontId="16" fillId="0" borderId="3" xfId="0" applyFont="1" applyBorder="1"/>
    <xf numFmtId="1" fontId="16" fillId="0" borderId="24" xfId="0" applyNumberFormat="1" applyFont="1" applyBorder="1"/>
    <xf numFmtId="1" fontId="16" fillId="0" borderId="22" xfId="0" applyNumberFormat="1" applyFont="1" applyBorder="1"/>
    <xf numFmtId="0" fontId="16" fillId="0" borderId="21" xfId="0" applyFont="1" applyBorder="1"/>
    <xf numFmtId="1" fontId="20" fillId="0" borderId="21" xfId="0" applyNumberFormat="1" applyFont="1" applyBorder="1"/>
    <xf numFmtId="0" fontId="16" fillId="0" borderId="0" xfId="0" applyFont="1"/>
    <xf numFmtId="0" fontId="2" fillId="2" borderId="26" xfId="0" applyFont="1" applyFill="1" applyBorder="1"/>
    <xf numFmtId="0" fontId="2" fillId="2" borderId="27" xfId="0" applyFont="1" applyFill="1" applyBorder="1"/>
    <xf numFmtId="1" fontId="14" fillId="2" borderId="31" xfId="0" applyNumberFormat="1" applyFont="1" applyFill="1" applyBorder="1"/>
    <xf numFmtId="1" fontId="14" fillId="2" borderId="32" xfId="0" applyNumberFormat="1" applyFont="1" applyFill="1" applyBorder="1"/>
    <xf numFmtId="168" fontId="14" fillId="2" borderId="32" xfId="0" applyNumberFormat="1" applyFont="1" applyFill="1" applyBorder="1"/>
    <xf numFmtId="1" fontId="14" fillId="2" borderId="32" xfId="0" applyNumberFormat="1" applyFont="1" applyFill="1" applyBorder="1" applyAlignment="1">
      <alignment horizontal="center"/>
    </xf>
    <xf numFmtId="1" fontId="14" fillId="2" borderId="33" xfId="0" applyNumberFormat="1" applyFont="1" applyFill="1" applyBorder="1"/>
    <xf numFmtId="1" fontId="14" fillId="2" borderId="34" xfId="0" applyNumberFormat="1" applyFont="1" applyFill="1" applyBorder="1"/>
    <xf numFmtId="1" fontId="14" fillId="2" borderId="1" xfId="0" applyNumberFormat="1" applyFont="1" applyFill="1" applyBorder="1"/>
    <xf numFmtId="168" fontId="14" fillId="2" borderId="1" xfId="0" applyNumberFormat="1" applyFont="1" applyFill="1" applyBorder="1"/>
    <xf numFmtId="1" fontId="14" fillId="2" borderId="1" xfId="0" applyNumberFormat="1" applyFont="1" applyFill="1" applyBorder="1" applyAlignment="1">
      <alignment horizontal="center"/>
    </xf>
    <xf numFmtId="0" fontId="3" fillId="2" borderId="35" xfId="0" applyFont="1" applyFill="1" applyBorder="1" applyAlignment="1">
      <alignment horizontal="right"/>
    </xf>
    <xf numFmtId="0" fontId="22" fillId="2" borderId="31" xfId="0" applyFont="1" applyFill="1" applyBorder="1"/>
    <xf numFmtId="0" fontId="23" fillId="2" borderId="32" xfId="0" applyFont="1" applyFill="1" applyBorder="1"/>
    <xf numFmtId="1" fontId="24" fillId="2" borderId="32" xfId="0" applyNumberFormat="1" applyFont="1" applyFill="1" applyBorder="1"/>
    <xf numFmtId="1" fontId="22" fillId="2" borderId="32" xfId="0" applyNumberFormat="1" applyFont="1" applyFill="1" applyBorder="1"/>
    <xf numFmtId="168" fontId="22" fillId="2" borderId="32" xfId="0" applyNumberFormat="1" applyFont="1" applyFill="1" applyBorder="1"/>
    <xf numFmtId="14" fontId="22" fillId="2" borderId="32" xfId="0" applyNumberFormat="1" applyFont="1" applyFill="1" applyBorder="1" applyAlignment="1">
      <alignment horizontal="center"/>
    </xf>
    <xf numFmtId="1" fontId="22" fillId="2" borderId="33" xfId="0" applyNumberFormat="1" applyFont="1" applyFill="1" applyBorder="1"/>
    <xf numFmtId="0" fontId="22" fillId="2" borderId="36" xfId="0" applyFont="1" applyFill="1" applyBorder="1"/>
    <xf numFmtId="0" fontId="23" fillId="2" borderId="0" xfId="0" applyFont="1" applyFill="1"/>
    <xf numFmtId="1" fontId="24" fillId="2" borderId="0" xfId="0" applyNumberFormat="1" applyFont="1" applyFill="1"/>
    <xf numFmtId="1" fontId="22" fillId="2" borderId="0" xfId="0" applyNumberFormat="1" applyFont="1" applyFill="1"/>
    <xf numFmtId="168" fontId="22" fillId="2" borderId="0" xfId="0" applyNumberFormat="1" applyFont="1" applyFill="1"/>
    <xf numFmtId="1" fontId="22" fillId="2" borderId="0" xfId="0" applyNumberFormat="1" applyFont="1" applyFill="1" applyAlignment="1">
      <alignment horizontal="center"/>
    </xf>
    <xf numFmtId="1" fontId="14" fillId="2" borderId="0" xfId="0" applyNumberFormat="1" applyFont="1" applyFill="1"/>
    <xf numFmtId="1" fontId="14" fillId="2" borderId="0" xfId="0" applyNumberFormat="1" applyFont="1" applyFill="1" applyAlignment="1">
      <alignment horizontal="center"/>
    </xf>
    <xf numFmtId="0" fontId="24" fillId="2" borderId="27" xfId="0" applyFont="1" applyFill="1" applyBorder="1"/>
    <xf numFmtId="0" fontId="22" fillId="2" borderId="27" xfId="0" applyFont="1" applyFill="1" applyBorder="1" applyAlignment="1">
      <alignment horizontal="center"/>
    </xf>
    <xf numFmtId="1" fontId="22" fillId="2" borderId="27" xfId="0" applyNumberFormat="1" applyFont="1" applyFill="1" applyBorder="1"/>
    <xf numFmtId="0" fontId="22" fillId="2" borderId="34" xfId="0" applyFont="1" applyFill="1" applyBorder="1"/>
    <xf numFmtId="1" fontId="23" fillId="0" borderId="1" xfId="0" applyNumberFormat="1" applyFont="1" applyBorder="1"/>
    <xf numFmtId="1" fontId="24" fillId="2" borderId="1" xfId="0" applyNumberFormat="1" applyFont="1" applyFill="1" applyBorder="1"/>
    <xf numFmtId="1" fontId="22" fillId="2" borderId="1" xfId="0" applyNumberFormat="1" applyFont="1" applyFill="1" applyBorder="1"/>
    <xf numFmtId="168" fontId="22" fillId="2" borderId="1" xfId="0" applyNumberFormat="1" applyFont="1" applyFill="1" applyBorder="1"/>
    <xf numFmtId="1" fontId="22" fillId="2" borderId="1" xfId="0" applyNumberFormat="1" applyFont="1" applyFill="1" applyBorder="1" applyAlignment="1">
      <alignment horizontal="center"/>
    </xf>
    <xf numFmtId="1" fontId="22" fillId="2" borderId="35" xfId="0" applyNumberFormat="1" applyFont="1" applyFill="1" applyBorder="1"/>
    <xf numFmtId="0" fontId="24" fillId="2" borderId="39" xfId="0" applyFont="1" applyFill="1" applyBorder="1"/>
    <xf numFmtId="1" fontId="14" fillId="2" borderId="8" xfId="0" applyNumberFormat="1" applyFont="1" applyFill="1" applyBorder="1"/>
    <xf numFmtId="168" fontId="25" fillId="2" borderId="8" xfId="0" applyNumberFormat="1" applyFont="1" applyFill="1" applyBorder="1" applyAlignment="1">
      <alignment horizontal="center"/>
    </xf>
    <xf numFmtId="1" fontId="22" fillId="2" borderId="8" xfId="0" applyNumberFormat="1" applyFont="1" applyFill="1" applyBorder="1"/>
    <xf numFmtId="168" fontId="22" fillId="2" borderId="8" xfId="0" applyNumberFormat="1" applyFont="1" applyFill="1" applyBorder="1"/>
    <xf numFmtId="1" fontId="22" fillId="2" borderId="8" xfId="0" applyNumberFormat="1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/>
    </xf>
    <xf numFmtId="14" fontId="24" fillId="2" borderId="40" xfId="0" applyNumberFormat="1" applyFont="1" applyFill="1" applyBorder="1" applyAlignment="1">
      <alignment vertical="center"/>
    </xf>
    <xf numFmtId="1" fontId="22" fillId="2" borderId="39" xfId="0" applyNumberFormat="1" applyFont="1" applyFill="1" applyBorder="1"/>
    <xf numFmtId="1" fontId="22" fillId="2" borderId="40" xfId="0" applyNumberFormat="1" applyFont="1" applyFill="1" applyBorder="1"/>
    <xf numFmtId="1" fontId="22" fillId="2" borderId="41" xfId="0" applyNumberFormat="1" applyFont="1" applyFill="1" applyBorder="1" applyAlignment="1">
      <alignment horizontal="center"/>
    </xf>
    <xf numFmtId="169" fontId="14" fillId="2" borderId="42" xfId="0" applyNumberFormat="1" applyFont="1" applyFill="1" applyBorder="1" applyAlignment="1">
      <alignment horizontal="center"/>
    </xf>
    <xf numFmtId="169" fontId="14" fillId="2" borderId="32" xfId="0" applyNumberFormat="1" applyFont="1" applyFill="1" applyBorder="1" applyAlignment="1">
      <alignment horizontal="center"/>
    </xf>
    <xf numFmtId="169" fontId="14" fillId="2" borderId="43" xfId="0" applyNumberFormat="1" applyFont="1" applyFill="1" applyBorder="1" applyAlignment="1">
      <alignment horizontal="left"/>
    </xf>
    <xf numFmtId="0" fontId="3" fillId="2" borderId="18" xfId="0" applyFont="1" applyFill="1" applyBorder="1" applyAlignment="1">
      <alignment horizontal="center"/>
    </xf>
    <xf numFmtId="0" fontId="24" fillId="2" borderId="4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" fontId="22" fillId="2" borderId="56" xfId="0" applyNumberFormat="1" applyFont="1" applyFill="1" applyBorder="1" applyAlignment="1">
      <alignment horizontal="center"/>
    </xf>
    <xf numFmtId="169" fontId="14" fillId="2" borderId="55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168" fontId="14" fillId="2" borderId="18" xfId="0" applyNumberFormat="1" applyFont="1" applyFill="1" applyBorder="1" applyAlignment="1">
      <alignment horizontal="right"/>
    </xf>
    <xf numFmtId="9" fontId="14" fillId="2" borderId="18" xfId="0" applyNumberFormat="1" applyFont="1" applyFill="1" applyBorder="1" applyAlignment="1">
      <alignment horizontal="center"/>
    </xf>
    <xf numFmtId="168" fontId="14" fillId="2" borderId="59" xfId="0" applyNumberFormat="1" applyFont="1" applyFill="1" applyBorder="1" applyAlignment="1">
      <alignment horizontal="right"/>
    </xf>
    <xf numFmtId="9" fontId="14" fillId="2" borderId="4" xfId="0" applyNumberFormat="1" applyFont="1" applyFill="1" applyBorder="1" applyAlignment="1">
      <alignment horizontal="center"/>
    </xf>
    <xf numFmtId="168" fontId="14" fillId="2" borderId="4" xfId="0" applyNumberFormat="1" applyFont="1" applyFill="1" applyBorder="1"/>
    <xf numFmtId="168" fontId="14" fillId="2" borderId="60" xfId="0" applyNumberFormat="1" applyFont="1" applyFill="1" applyBorder="1"/>
    <xf numFmtId="169" fontId="14" fillId="2" borderId="15" xfId="0" applyNumberFormat="1" applyFont="1" applyFill="1" applyBorder="1" applyAlignment="1">
      <alignment horizontal="right"/>
    </xf>
    <xf numFmtId="1" fontId="22" fillId="2" borderId="31" xfId="0" applyNumberFormat="1" applyFont="1" applyFill="1" applyBorder="1" applyAlignment="1">
      <alignment horizontal="center"/>
    </xf>
    <xf numFmtId="0" fontId="14" fillId="2" borderId="32" xfId="0" applyFont="1" applyFill="1" applyBorder="1"/>
    <xf numFmtId="169" fontId="14" fillId="2" borderId="43" xfId="0" applyNumberFormat="1" applyFont="1" applyFill="1" applyBorder="1" applyAlignment="1">
      <alignment horizontal="right"/>
    </xf>
    <xf numFmtId="168" fontId="14" fillId="2" borderId="18" xfId="0" applyNumberFormat="1" applyFont="1" applyFill="1" applyBorder="1"/>
    <xf numFmtId="170" fontId="14" fillId="2" borderId="18" xfId="0" applyNumberFormat="1" applyFont="1" applyFill="1" applyBorder="1" applyAlignment="1">
      <alignment horizontal="center"/>
    </xf>
    <xf numFmtId="38" fontId="14" fillId="2" borderId="18" xfId="0" applyNumberFormat="1" applyFont="1" applyFill="1" applyBorder="1" applyAlignment="1">
      <alignment horizontal="center"/>
    </xf>
    <xf numFmtId="171" fontId="14" fillId="2" borderId="18" xfId="0" applyNumberFormat="1" applyFont="1" applyFill="1" applyBorder="1" applyAlignment="1">
      <alignment horizontal="right"/>
    </xf>
    <xf numFmtId="168" fontId="14" fillId="2" borderId="59" xfId="0" applyNumberFormat="1" applyFont="1" applyFill="1" applyBorder="1"/>
    <xf numFmtId="1" fontId="22" fillId="2" borderId="34" xfId="0" applyNumberFormat="1" applyFont="1" applyFill="1" applyBorder="1" applyAlignment="1">
      <alignment horizontal="center"/>
    </xf>
    <xf numFmtId="1" fontId="3" fillId="2" borderId="27" xfId="0" applyNumberFormat="1" applyFont="1" applyFill="1" applyBorder="1"/>
    <xf numFmtId="1" fontId="24" fillId="2" borderId="39" xfId="0" applyNumberFormat="1" applyFont="1" applyFill="1" applyBorder="1" applyAlignment="1">
      <alignment horizontal="center"/>
    </xf>
    <xf numFmtId="0" fontId="3" fillId="2" borderId="8" xfId="0" applyFont="1" applyFill="1" applyBorder="1"/>
    <xf numFmtId="1" fontId="3" fillId="2" borderId="8" xfId="0" applyNumberFormat="1" applyFont="1" applyFill="1" applyBorder="1"/>
    <xf numFmtId="169" fontId="3" fillId="2" borderId="62" xfId="0" applyNumberFormat="1" applyFont="1" applyFill="1" applyBorder="1" applyAlignment="1">
      <alignment horizontal="right"/>
    </xf>
    <xf numFmtId="168" fontId="3" fillId="2" borderId="3" xfId="0" applyNumberFormat="1" applyFont="1" applyFill="1" applyBorder="1"/>
    <xf numFmtId="38" fontId="3" fillId="2" borderId="3" xfId="0" applyNumberFormat="1" applyFont="1" applyFill="1" applyBorder="1" applyAlignment="1">
      <alignment horizontal="center"/>
    </xf>
    <xf numFmtId="171" fontId="3" fillId="2" borderId="3" xfId="0" applyNumberFormat="1" applyFont="1" applyFill="1" applyBorder="1" applyAlignment="1">
      <alignment horizontal="right"/>
    </xf>
    <xf numFmtId="168" fontId="3" fillId="2" borderId="58" xfId="0" applyNumberFormat="1" applyFont="1" applyFill="1" applyBorder="1"/>
    <xf numFmtId="0" fontId="14" fillId="2" borderId="1" xfId="0" applyFont="1" applyFill="1" applyBorder="1"/>
    <xf numFmtId="168" fontId="3" fillId="2" borderId="57" xfId="0" applyNumberFormat="1" applyFont="1" applyFill="1" applyBorder="1"/>
    <xf numFmtId="170" fontId="3" fillId="2" borderId="57" xfId="0" applyNumberFormat="1" applyFont="1" applyFill="1" applyBorder="1" applyAlignment="1">
      <alignment horizontal="center"/>
    </xf>
    <xf numFmtId="38" fontId="3" fillId="2" borderId="57" xfId="0" applyNumberFormat="1" applyFont="1" applyFill="1" applyBorder="1" applyAlignment="1">
      <alignment horizontal="center"/>
    </xf>
    <xf numFmtId="171" fontId="3" fillId="2" borderId="57" xfId="0" applyNumberFormat="1" applyFont="1" applyFill="1" applyBorder="1" applyAlignment="1">
      <alignment horizontal="right"/>
    </xf>
    <xf numFmtId="169" fontId="22" fillId="2" borderId="32" xfId="0" applyNumberFormat="1" applyFont="1" applyFill="1" applyBorder="1" applyAlignment="1">
      <alignment horizontal="right"/>
    </xf>
    <xf numFmtId="170" fontId="22" fillId="2" borderId="32" xfId="0" applyNumberFormat="1" applyFont="1" applyFill="1" applyBorder="1" applyAlignment="1">
      <alignment horizontal="center"/>
    </xf>
    <xf numFmtId="171" fontId="22" fillId="2" borderId="32" xfId="0" applyNumberFormat="1" applyFont="1" applyFill="1" applyBorder="1"/>
    <xf numFmtId="38" fontId="22" fillId="2" borderId="32" xfId="0" applyNumberFormat="1" applyFont="1" applyFill="1" applyBorder="1" applyAlignment="1">
      <alignment horizontal="center"/>
    </xf>
    <xf numFmtId="171" fontId="22" fillId="2" borderId="32" xfId="0" applyNumberFormat="1" applyFont="1" applyFill="1" applyBorder="1" applyAlignment="1">
      <alignment horizontal="center"/>
    </xf>
    <xf numFmtId="171" fontId="22" fillId="2" borderId="33" xfId="0" applyNumberFormat="1" applyFont="1" applyFill="1" applyBorder="1"/>
    <xf numFmtId="1" fontId="22" fillId="2" borderId="36" xfId="0" applyNumberFormat="1" applyFont="1" applyFill="1" applyBorder="1" applyAlignment="1">
      <alignment horizontal="center"/>
    </xf>
    <xf numFmtId="1" fontId="27" fillId="2" borderId="0" xfId="0" applyNumberFormat="1" applyFont="1" applyFill="1" applyAlignment="1">
      <alignment horizontal="left"/>
    </xf>
    <xf numFmtId="169" fontId="27" fillId="2" borderId="0" xfId="0" applyNumberFormat="1" applyFont="1" applyFill="1" applyAlignment="1">
      <alignment horizontal="left"/>
    </xf>
    <xf numFmtId="168" fontId="27" fillId="2" borderId="0" xfId="0" applyNumberFormat="1" applyFont="1" applyFill="1" applyAlignment="1">
      <alignment horizontal="left"/>
    </xf>
    <xf numFmtId="170" fontId="22" fillId="2" borderId="0" xfId="0" applyNumberFormat="1" applyFont="1" applyFill="1" applyAlignment="1">
      <alignment horizontal="center"/>
    </xf>
    <xf numFmtId="171" fontId="22" fillId="2" borderId="0" xfId="0" applyNumberFormat="1" applyFont="1" applyFill="1"/>
    <xf numFmtId="38" fontId="22" fillId="2" borderId="0" xfId="0" applyNumberFormat="1" applyFont="1" applyFill="1" applyAlignment="1">
      <alignment horizontal="center"/>
    </xf>
    <xf numFmtId="171" fontId="22" fillId="2" borderId="0" xfId="0" applyNumberFormat="1" applyFont="1" applyFill="1" applyAlignment="1">
      <alignment horizontal="center"/>
    </xf>
    <xf numFmtId="171" fontId="22" fillId="2" borderId="27" xfId="0" applyNumberFormat="1" applyFont="1" applyFill="1" applyBorder="1"/>
    <xf numFmtId="1" fontId="22" fillId="2" borderId="36" xfId="0" applyNumberFormat="1" applyFont="1" applyFill="1" applyBorder="1" applyAlignment="1">
      <alignment horizontal="center" vertical="center"/>
    </xf>
    <xf numFmtId="170" fontId="22" fillId="2" borderId="0" xfId="0" applyNumberFormat="1" applyFont="1" applyFill="1" applyAlignment="1">
      <alignment horizontal="center" vertical="center"/>
    </xf>
    <xf numFmtId="168" fontId="22" fillId="2" borderId="0" xfId="0" applyNumberFormat="1" applyFont="1" applyFill="1" applyAlignment="1">
      <alignment vertical="center"/>
    </xf>
    <xf numFmtId="173" fontId="22" fillId="2" borderId="0" xfId="0" applyNumberFormat="1" applyFont="1" applyFill="1" applyAlignment="1">
      <alignment horizontal="center" vertical="center"/>
    </xf>
    <xf numFmtId="171" fontId="22" fillId="2" borderId="0" xfId="0" applyNumberFormat="1" applyFont="1" applyFill="1" applyAlignment="1">
      <alignment horizontal="center" vertical="center"/>
    </xf>
    <xf numFmtId="4" fontId="22" fillId="2" borderId="27" xfId="0" applyNumberFormat="1" applyFont="1" applyFill="1" applyBorder="1" applyAlignment="1">
      <alignment horizontal="center" vertical="center"/>
    </xf>
    <xf numFmtId="1" fontId="14" fillId="2" borderId="36" xfId="0" applyNumberFormat="1" applyFont="1" applyFill="1" applyBorder="1"/>
    <xf numFmtId="168" fontId="14" fillId="2" borderId="0" xfId="0" applyNumberFormat="1" applyFont="1" applyFill="1"/>
    <xf numFmtId="1" fontId="14" fillId="2" borderId="27" xfId="0" applyNumberFormat="1" applyFont="1" applyFill="1" applyBorder="1"/>
    <xf numFmtId="1" fontId="14" fillId="2" borderId="35" xfId="0" applyNumberFormat="1" applyFont="1" applyFill="1" applyBorder="1"/>
    <xf numFmtId="1" fontId="22" fillId="2" borderId="31" xfId="0" applyNumberFormat="1" applyFont="1" applyFill="1" applyBorder="1" applyAlignment="1">
      <alignment horizontal="center" vertical="center"/>
    </xf>
    <xf numFmtId="1" fontId="14" fillId="2" borderId="66" xfId="0" applyNumberFormat="1" applyFont="1" applyFill="1" applyBorder="1"/>
    <xf numFmtId="1" fontId="14" fillId="2" borderId="26" xfId="0" applyNumberFormat="1" applyFont="1" applyFill="1" applyBorder="1"/>
    <xf numFmtId="168" fontId="14" fillId="2" borderId="26" xfId="0" applyNumberFormat="1" applyFont="1" applyFill="1" applyBorder="1"/>
    <xf numFmtId="1" fontId="14" fillId="2" borderId="26" xfId="0" applyNumberFormat="1" applyFont="1" applyFill="1" applyBorder="1" applyAlignment="1">
      <alignment horizontal="center"/>
    </xf>
    <xf numFmtId="1" fontId="14" fillId="2" borderId="67" xfId="0" applyNumberFormat="1" applyFont="1" applyFill="1" applyBorder="1"/>
    <xf numFmtId="1" fontId="23" fillId="2" borderId="0" xfId="0" applyNumberFormat="1" applyFont="1" applyFill="1"/>
    <xf numFmtId="0" fontId="28" fillId="2" borderId="3" xfId="0" applyFont="1" applyFill="1" applyBorder="1" applyAlignment="1">
      <alignment horizontal="center"/>
    </xf>
    <xf numFmtId="0" fontId="35" fillId="2" borderId="4" xfId="0" applyFont="1" applyFill="1" applyBorder="1"/>
    <xf numFmtId="1" fontId="18" fillId="0" borderId="68" xfId="0" applyNumberFormat="1" applyFont="1" applyBorder="1" applyAlignment="1">
      <alignment horizontal="center"/>
    </xf>
    <xf numFmtId="168" fontId="14" fillId="0" borderId="43" xfId="0" applyNumberFormat="1" applyFont="1" applyBorder="1"/>
    <xf numFmtId="1" fontId="14" fillId="2" borderId="68" xfId="0" applyNumberFormat="1" applyFont="1" applyFill="1" applyBorder="1" applyAlignment="1">
      <alignment horizontal="center"/>
    </xf>
    <xf numFmtId="168" fontId="3" fillId="4" borderId="62" xfId="0" applyNumberFormat="1" applyFont="1" applyFill="1" applyBorder="1"/>
    <xf numFmtId="1" fontId="16" fillId="0" borderId="6" xfId="0" applyNumberFormat="1" applyFont="1" applyBorder="1"/>
    <xf numFmtId="9" fontId="14" fillId="2" borderId="43" xfId="0" applyNumberFormat="1" applyFont="1" applyFill="1" applyBorder="1" applyAlignment="1">
      <alignment horizontal="center"/>
    </xf>
    <xf numFmtId="9" fontId="14" fillId="2" borderId="2" xfId="0" applyNumberFormat="1" applyFont="1" applyFill="1" applyBorder="1" applyAlignment="1">
      <alignment horizontal="center"/>
    </xf>
    <xf numFmtId="168" fontId="14" fillId="2" borderId="4" xfId="0" applyNumberFormat="1" applyFont="1" applyFill="1" applyBorder="1" applyAlignment="1">
      <alignment horizontal="center"/>
    </xf>
    <xf numFmtId="168" fontId="14" fillId="2" borderId="70" xfId="0" applyNumberFormat="1" applyFont="1" applyFill="1" applyBorder="1"/>
    <xf numFmtId="0" fontId="3" fillId="7" borderId="18" xfId="0" applyFont="1" applyFill="1" applyBorder="1" applyAlignment="1">
      <alignment horizontal="center" vertical="center" wrapText="1"/>
    </xf>
    <xf numFmtId="164" fontId="16" fillId="0" borderId="0" xfId="138" applyFont="1" applyFill="1" applyBorder="1" applyAlignment="1"/>
    <xf numFmtId="164" fontId="0" fillId="0" borderId="0" xfId="138" applyFont="1"/>
    <xf numFmtId="0" fontId="33" fillId="5" borderId="14" xfId="0" applyFont="1" applyFill="1" applyBorder="1" applyAlignment="1">
      <alignment horizontal="center" vertical="center"/>
    </xf>
    <xf numFmtId="16" fontId="33" fillId="5" borderId="14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7" fillId="7" borderId="14" xfId="0" applyFont="1" applyFill="1" applyBorder="1" applyAlignment="1">
      <alignment horizontal="center"/>
    </xf>
    <xf numFmtId="1" fontId="38" fillId="7" borderId="14" xfId="0" applyNumberFormat="1" applyFont="1" applyFill="1" applyBorder="1" applyAlignment="1">
      <alignment horizontal="center"/>
    </xf>
    <xf numFmtId="1" fontId="33" fillId="7" borderId="14" xfId="0" applyNumberFormat="1" applyFont="1" applyFill="1" applyBorder="1" applyAlignment="1">
      <alignment horizontal="center"/>
    </xf>
    <xf numFmtId="164" fontId="16" fillId="0" borderId="21" xfId="138" applyFont="1" applyFill="1" applyBorder="1" applyAlignment="1"/>
    <xf numFmtId="168" fontId="0" fillId="0" borderId="0" xfId="0" applyNumberFormat="1"/>
    <xf numFmtId="168" fontId="14" fillId="8" borderId="3" xfId="0" applyNumberFormat="1" applyFont="1" applyFill="1" applyBorder="1"/>
    <xf numFmtId="168" fontId="14" fillId="8" borderId="2" xfId="0" applyNumberFormat="1" applyFont="1" applyFill="1" applyBorder="1"/>
    <xf numFmtId="168" fontId="33" fillId="8" borderId="3" xfId="0" applyNumberFormat="1" applyFont="1" applyFill="1" applyBorder="1" applyAlignment="1">
      <alignment horizontal="center"/>
    </xf>
    <xf numFmtId="0" fontId="2" fillId="8" borderId="4" xfId="0" applyFont="1" applyFill="1" applyBorder="1"/>
    <xf numFmtId="9" fontId="0" fillId="8" borderId="14" xfId="139" applyFont="1" applyFill="1" applyBorder="1" applyAlignment="1">
      <alignment horizontal="center"/>
    </xf>
    <xf numFmtId="168" fontId="26" fillId="8" borderId="3" xfId="0" applyNumberFormat="1" applyFont="1" applyFill="1" applyBorder="1"/>
    <xf numFmtId="1" fontId="23" fillId="0" borderId="1" xfId="0" applyNumberFormat="1" applyFont="1" applyBorder="1" applyAlignment="1">
      <alignment horizontal="left"/>
    </xf>
    <xf numFmtId="1" fontId="39" fillId="7" borderId="34" xfId="0" applyNumberFormat="1" applyFont="1" applyFill="1" applyBorder="1" applyAlignment="1">
      <alignment horizontal="center"/>
    </xf>
    <xf numFmtId="0" fontId="40" fillId="7" borderId="1" xfId="0" applyFont="1" applyFill="1" applyBorder="1"/>
    <xf numFmtId="1" fontId="40" fillId="7" borderId="1" xfId="0" applyNumberFormat="1" applyFont="1" applyFill="1" applyBorder="1"/>
    <xf numFmtId="9" fontId="40" fillId="7" borderId="15" xfId="0" applyNumberFormat="1" applyFont="1" applyFill="1" applyBorder="1" applyAlignment="1">
      <alignment horizontal="right"/>
    </xf>
    <xf numFmtId="168" fontId="40" fillId="7" borderId="57" xfId="0" applyNumberFormat="1" applyFont="1" applyFill="1" applyBorder="1"/>
    <xf numFmtId="170" fontId="40" fillId="7" borderId="57" xfId="0" applyNumberFormat="1" applyFont="1" applyFill="1" applyBorder="1" applyAlignment="1">
      <alignment horizontal="center"/>
    </xf>
    <xf numFmtId="172" fontId="40" fillId="7" borderId="57" xfId="0" applyNumberFormat="1" applyFont="1" applyFill="1" applyBorder="1"/>
    <xf numFmtId="38" fontId="40" fillId="7" borderId="57" xfId="0" applyNumberFormat="1" applyFont="1" applyFill="1" applyBorder="1" applyAlignment="1">
      <alignment horizontal="center"/>
    </xf>
    <xf numFmtId="171" fontId="40" fillId="7" borderId="57" xfId="0" applyNumberFormat="1" applyFont="1" applyFill="1" applyBorder="1" applyAlignment="1">
      <alignment horizontal="right"/>
    </xf>
    <xf numFmtId="172" fontId="40" fillId="7" borderId="61" xfId="0" applyNumberFormat="1" applyFont="1" applyFill="1" applyBorder="1"/>
    <xf numFmtId="0" fontId="33" fillId="7" borderId="14" xfId="0" applyFont="1" applyFill="1" applyBorder="1" applyAlignment="1">
      <alignment horizontal="center" vertical="center"/>
    </xf>
    <xf numFmtId="9" fontId="33" fillId="7" borderId="14" xfId="139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9" fontId="1" fillId="8" borderId="14" xfId="139" applyFont="1" applyFill="1" applyBorder="1" applyAlignment="1">
      <alignment horizontal="center"/>
    </xf>
    <xf numFmtId="9" fontId="33" fillId="7" borderId="14" xfId="0" applyNumberFormat="1" applyFont="1" applyFill="1" applyBorder="1" applyAlignment="1">
      <alignment horizontal="center" vertical="center"/>
    </xf>
    <xf numFmtId="0" fontId="35" fillId="2" borderId="0" xfId="0" applyFont="1" applyFill="1"/>
    <xf numFmtId="0" fontId="41" fillId="0" borderId="0" xfId="0" applyFont="1"/>
    <xf numFmtId="0" fontId="2" fillId="2" borderId="4" xfId="0" applyFont="1" applyFill="1" applyBorder="1" applyAlignment="1">
      <alignment vertical="center"/>
    </xf>
    <xf numFmtId="9" fontId="33" fillId="5" borderId="14" xfId="139" applyFont="1" applyFill="1" applyBorder="1" applyAlignment="1">
      <alignment horizontal="center"/>
    </xf>
    <xf numFmtId="164" fontId="14" fillId="8" borderId="3" xfId="138" applyFont="1" applyFill="1" applyBorder="1" applyAlignment="1">
      <alignment horizontal="right"/>
    </xf>
    <xf numFmtId="164" fontId="14" fillId="0" borderId="3" xfId="138" applyFont="1" applyBorder="1" applyAlignment="1">
      <alignment horizontal="right"/>
    </xf>
    <xf numFmtId="1" fontId="39" fillId="8" borderId="34" xfId="0" applyNumberFormat="1" applyFont="1" applyFill="1" applyBorder="1" applyAlignment="1">
      <alignment horizontal="center"/>
    </xf>
    <xf numFmtId="0" fontId="26" fillId="8" borderId="1" xfId="0" applyFont="1" applyFill="1" applyBorder="1"/>
    <xf numFmtId="1" fontId="26" fillId="8" borderId="1" xfId="0" applyNumberFormat="1" applyFont="1" applyFill="1" applyBorder="1"/>
    <xf numFmtId="9" fontId="26" fillId="8" borderId="15" xfId="0" applyNumberFormat="1" applyFont="1" applyFill="1" applyBorder="1" applyAlignment="1">
      <alignment horizontal="right"/>
    </xf>
    <xf numFmtId="168" fontId="26" fillId="8" borderId="57" xfId="0" applyNumberFormat="1" applyFont="1" applyFill="1" applyBorder="1"/>
    <xf numFmtId="9" fontId="26" fillId="8" borderId="57" xfId="139" applyFont="1" applyFill="1" applyBorder="1" applyAlignment="1">
      <alignment horizontal="center"/>
    </xf>
    <xf numFmtId="164" fontId="16" fillId="0" borderId="0" xfId="138" applyFont="1"/>
    <xf numFmtId="176" fontId="27" fillId="2" borderId="0" xfId="0" applyNumberFormat="1" applyFont="1" applyFill="1" applyAlignment="1">
      <alignment horizontal="left"/>
    </xf>
    <xf numFmtId="1" fontId="32" fillId="9" borderId="3" xfId="0" applyNumberFormat="1" applyFont="1" applyFill="1" applyBorder="1" applyAlignment="1">
      <alignment horizontal="center"/>
    </xf>
    <xf numFmtId="168" fontId="26" fillId="9" borderId="3" xfId="0" applyNumberFormat="1" applyFont="1" applyFill="1" applyBorder="1"/>
    <xf numFmtId="0" fontId="42" fillId="9" borderId="68" xfId="0" applyFont="1" applyFill="1" applyBorder="1" applyAlignment="1">
      <alignment horizontal="center"/>
    </xf>
    <xf numFmtId="9" fontId="44" fillId="7" borderId="14" xfId="139" applyFont="1" applyFill="1" applyBorder="1" applyAlignment="1">
      <alignment horizontal="center"/>
    </xf>
    <xf numFmtId="168" fontId="14" fillId="2" borderId="72" xfId="0" applyNumberFormat="1" applyFont="1" applyFill="1" applyBorder="1"/>
    <xf numFmtId="176" fontId="2" fillId="2" borderId="0" xfId="0" applyNumberFormat="1" applyFont="1" applyFill="1"/>
    <xf numFmtId="176" fontId="2" fillId="2" borderId="26" xfId="0" applyNumberFormat="1" applyFont="1" applyFill="1" applyBorder="1"/>
    <xf numFmtId="176" fontId="14" fillId="2" borderId="32" xfId="0" applyNumberFormat="1" applyFont="1" applyFill="1" applyBorder="1"/>
    <xf numFmtId="176" fontId="14" fillId="2" borderId="1" xfId="0" applyNumberFormat="1" applyFont="1" applyFill="1" applyBorder="1"/>
    <xf numFmtId="176" fontId="22" fillId="2" borderId="32" xfId="0" applyNumberFormat="1" applyFont="1" applyFill="1" applyBorder="1"/>
    <xf numFmtId="176" fontId="22" fillId="2" borderId="0" xfId="0" applyNumberFormat="1" applyFont="1" applyFill="1"/>
    <xf numFmtId="176" fontId="24" fillId="2" borderId="0" xfId="0" applyNumberFormat="1" applyFont="1" applyFill="1"/>
    <xf numFmtId="176" fontId="22" fillId="2" borderId="1" xfId="0" applyNumberFormat="1" applyFont="1" applyFill="1" applyBorder="1"/>
    <xf numFmtId="176" fontId="22" fillId="2" borderId="8" xfId="0" applyNumberFormat="1" applyFont="1" applyFill="1" applyBorder="1"/>
    <xf numFmtId="176" fontId="14" fillId="2" borderId="32" xfId="0" applyNumberFormat="1" applyFont="1" applyFill="1" applyBorder="1" applyAlignment="1">
      <alignment horizontal="center"/>
    </xf>
    <xf numFmtId="176" fontId="14" fillId="2" borderId="1" xfId="0" applyNumberFormat="1" applyFont="1" applyFill="1" applyBorder="1" applyAlignment="1">
      <alignment horizontal="center"/>
    </xf>
    <xf numFmtId="176" fontId="40" fillId="7" borderId="1" xfId="0" applyNumberFormat="1" applyFont="1" applyFill="1" applyBorder="1" applyAlignment="1">
      <alignment horizontal="center"/>
    </xf>
    <xf numFmtId="176" fontId="26" fillId="8" borderId="1" xfId="0" applyNumberFormat="1" applyFont="1" applyFill="1" applyBorder="1" applyAlignment="1">
      <alignment horizontal="center"/>
    </xf>
    <xf numFmtId="176" fontId="3" fillId="2" borderId="8" xfId="0" applyNumberFormat="1" applyFont="1" applyFill="1" applyBorder="1" applyAlignment="1">
      <alignment horizontal="center"/>
    </xf>
    <xf numFmtId="176" fontId="22" fillId="2" borderId="32" xfId="0" applyNumberFormat="1" applyFont="1" applyFill="1" applyBorder="1" applyAlignment="1">
      <alignment horizontal="center"/>
    </xf>
    <xf numFmtId="176" fontId="14" fillId="2" borderId="0" xfId="0" applyNumberFormat="1" applyFont="1" applyFill="1"/>
    <xf numFmtId="176" fontId="14" fillId="2" borderId="26" xfId="0" applyNumberFormat="1" applyFont="1" applyFill="1" applyBorder="1"/>
    <xf numFmtId="176" fontId="16" fillId="0" borderId="0" xfId="0" applyNumberFormat="1" applyFont="1"/>
    <xf numFmtId="168" fontId="14" fillId="2" borderId="71" xfId="0" applyNumberFormat="1" applyFont="1" applyFill="1" applyBorder="1"/>
    <xf numFmtId="168" fontId="14" fillId="2" borderId="73" xfId="0" applyNumberFormat="1" applyFont="1" applyFill="1" applyBorder="1"/>
    <xf numFmtId="168" fontId="14" fillId="2" borderId="74" xfId="0" applyNumberFormat="1" applyFont="1" applyFill="1" applyBorder="1" applyAlignment="1">
      <alignment horizontal="right"/>
    </xf>
    <xf numFmtId="169" fontId="14" fillId="2" borderId="0" xfId="0" applyNumberFormat="1" applyFont="1" applyFill="1" applyAlignment="1">
      <alignment horizontal="center"/>
    </xf>
    <xf numFmtId="176" fontId="14" fillId="2" borderId="0" xfId="0" applyNumberFormat="1" applyFont="1" applyFill="1" applyAlignment="1">
      <alignment horizontal="center"/>
    </xf>
    <xf numFmtId="169" fontId="14" fillId="2" borderId="2" xfId="0" applyNumberFormat="1" applyFont="1" applyFill="1" applyBorder="1" applyAlignment="1">
      <alignment horizontal="center"/>
    </xf>
    <xf numFmtId="169" fontId="14" fillId="2" borderId="2" xfId="0" applyNumberFormat="1" applyFont="1" applyFill="1" applyBorder="1" applyAlignment="1">
      <alignment horizontal="right"/>
    </xf>
    <xf numFmtId="0" fontId="3" fillId="2" borderId="69" xfId="0" applyFont="1" applyFill="1" applyBorder="1" applyAlignment="1">
      <alignment horizontal="center"/>
    </xf>
    <xf numFmtId="168" fontId="14" fillId="2" borderId="75" xfId="0" applyNumberFormat="1" applyFont="1" applyFill="1" applyBorder="1"/>
    <xf numFmtId="176" fontId="3" fillId="2" borderId="69" xfId="0" applyNumberFormat="1" applyFont="1" applyFill="1" applyBorder="1" applyAlignment="1">
      <alignment horizontal="center"/>
    </xf>
    <xf numFmtId="176" fontId="14" fillId="2" borderId="75" xfId="0" applyNumberFormat="1" applyFont="1" applyFill="1" applyBorder="1"/>
    <xf numFmtId="168" fontId="14" fillId="2" borderId="70" xfId="0" applyNumberFormat="1" applyFont="1" applyFill="1" applyBorder="1" applyAlignment="1">
      <alignment horizontal="center"/>
    </xf>
    <xf numFmtId="0" fontId="32" fillId="8" borderId="70" xfId="145" applyFill="1" applyBorder="1" applyAlignment="1">
      <alignment horizontal="center" vertical="center"/>
    </xf>
    <xf numFmtId="177" fontId="14" fillId="2" borderId="70" xfId="0" applyNumberFormat="1" applyFont="1" applyFill="1" applyBorder="1" applyAlignment="1">
      <alignment horizontal="center"/>
    </xf>
    <xf numFmtId="168" fontId="14" fillId="2" borderId="75" xfId="0" applyNumberFormat="1" applyFont="1" applyFill="1" applyBorder="1" applyAlignment="1">
      <alignment horizontal="center"/>
    </xf>
    <xf numFmtId="168" fontId="14" fillId="2" borderId="71" xfId="0" applyNumberFormat="1" applyFont="1" applyFill="1" applyBorder="1" applyAlignment="1">
      <alignment wrapText="1"/>
    </xf>
    <xf numFmtId="1" fontId="14" fillId="9" borderId="68" xfId="0" applyNumberFormat="1" applyFont="1" applyFill="1" applyBorder="1"/>
    <xf numFmtId="177" fontId="14" fillId="2" borderId="70" xfId="0" applyNumberFormat="1" applyFont="1" applyFill="1" applyBorder="1" applyAlignment="1">
      <alignment horizontal="center" vertical="center"/>
    </xf>
    <xf numFmtId="168" fontId="14" fillId="2" borderId="71" xfId="0" applyNumberFormat="1" applyFont="1" applyFill="1" applyBorder="1" applyAlignment="1">
      <alignment vertical="center" wrapText="1"/>
    </xf>
    <xf numFmtId="0" fontId="14" fillId="2" borderId="70" xfId="0" applyFont="1" applyFill="1" applyBorder="1" applyAlignment="1">
      <alignment horizontal="center" vertical="center"/>
    </xf>
    <xf numFmtId="164" fontId="14" fillId="2" borderId="70" xfId="138" applyFont="1" applyFill="1" applyBorder="1" applyAlignment="1">
      <alignment horizontal="center" vertical="center"/>
    </xf>
    <xf numFmtId="168" fontId="14" fillId="2" borderId="73" xfId="0" applyNumberFormat="1" applyFont="1" applyFill="1" applyBorder="1" applyAlignment="1">
      <alignment vertical="center"/>
    </xf>
    <xf numFmtId="9" fontId="14" fillId="2" borderId="2" xfId="0" applyNumberFormat="1" applyFont="1" applyFill="1" applyBorder="1" applyAlignment="1">
      <alignment horizontal="center" vertical="center"/>
    </xf>
    <xf numFmtId="168" fontId="14" fillId="2" borderId="4" xfId="0" applyNumberFormat="1" applyFont="1" applyFill="1" applyBorder="1" applyAlignment="1">
      <alignment vertical="center"/>
    </xf>
    <xf numFmtId="9" fontId="14" fillId="2" borderId="4" xfId="0" applyNumberFormat="1" applyFont="1" applyFill="1" applyBorder="1" applyAlignment="1">
      <alignment horizontal="center" vertical="center"/>
    </xf>
    <xf numFmtId="168" fontId="14" fillId="2" borderId="60" xfId="0" applyNumberFormat="1" applyFont="1" applyFill="1" applyBorder="1" applyAlignment="1">
      <alignment vertical="center"/>
    </xf>
    <xf numFmtId="168" fontId="3" fillId="2" borderId="71" xfId="0" applyNumberFormat="1" applyFont="1" applyFill="1" applyBorder="1"/>
    <xf numFmtId="168" fontId="14" fillId="2" borderId="69" xfId="0" applyNumberFormat="1" applyFont="1" applyFill="1" applyBorder="1" applyAlignment="1">
      <alignment horizontal="center"/>
    </xf>
    <xf numFmtId="0" fontId="32" fillId="8" borderId="69" xfId="145" applyFill="1" applyBorder="1" applyAlignment="1">
      <alignment horizontal="center" vertical="center"/>
    </xf>
    <xf numFmtId="168" fontId="14" fillId="2" borderId="69" xfId="0" applyNumberFormat="1" applyFont="1" applyFill="1" applyBorder="1"/>
    <xf numFmtId="168" fontId="45" fillId="2" borderId="71" xfId="0" applyNumberFormat="1" applyFont="1" applyFill="1" applyBorder="1"/>
    <xf numFmtId="0" fontId="46" fillId="8" borderId="70" xfId="145" applyFont="1" applyFill="1" applyBorder="1" applyAlignment="1">
      <alignment horizontal="center" vertical="center"/>
    </xf>
    <xf numFmtId="168" fontId="45" fillId="2" borderId="70" xfId="0" applyNumberFormat="1" applyFont="1" applyFill="1" applyBorder="1"/>
    <xf numFmtId="168" fontId="45" fillId="2" borderId="73" xfId="0" applyNumberFormat="1" applyFont="1" applyFill="1" applyBorder="1"/>
    <xf numFmtId="1" fontId="14" fillId="9" borderId="68" xfId="0" applyNumberFormat="1" applyFont="1" applyFill="1" applyBorder="1" applyAlignment="1">
      <alignment horizontal="center"/>
    </xf>
    <xf numFmtId="169" fontId="14" fillId="2" borderId="5" xfId="0" applyNumberFormat="1" applyFont="1" applyFill="1" applyBorder="1" applyAlignment="1">
      <alignment horizontal="center"/>
    </xf>
    <xf numFmtId="0" fontId="14" fillId="2" borderId="0" xfId="0" applyFont="1" applyFill="1"/>
    <xf numFmtId="168" fontId="14" fillId="2" borderId="76" xfId="0" applyNumberFormat="1" applyFont="1" applyFill="1" applyBorder="1"/>
    <xf numFmtId="177" fontId="14" fillId="2" borderId="71" xfId="0" applyNumberFormat="1" applyFont="1" applyFill="1" applyBorder="1" applyAlignment="1">
      <alignment horizontal="center" vertical="center"/>
    </xf>
    <xf numFmtId="177" fontId="14" fillId="2" borderId="71" xfId="0" applyNumberFormat="1" applyFont="1" applyFill="1" applyBorder="1" applyAlignment="1">
      <alignment horizontal="center"/>
    </xf>
    <xf numFmtId="168" fontId="14" fillId="2" borderId="0" xfId="0" applyNumberFormat="1" applyFont="1" applyFill="1" applyAlignment="1">
      <alignment horizontal="center"/>
    </xf>
    <xf numFmtId="168" fontId="14" fillId="2" borderId="78" xfId="0" applyNumberFormat="1" applyFont="1" applyFill="1" applyBorder="1" applyAlignment="1">
      <alignment horizontal="center"/>
    </xf>
    <xf numFmtId="168" fontId="14" fillId="8" borderId="69" xfId="0" applyNumberFormat="1" applyFont="1" applyFill="1" applyBorder="1"/>
    <xf numFmtId="168" fontId="14" fillId="8" borderId="74" xfId="0" applyNumberFormat="1" applyFont="1" applyFill="1" applyBorder="1" applyAlignment="1">
      <alignment vertical="center"/>
    </xf>
    <xf numFmtId="164" fontId="0" fillId="8" borderId="70" xfId="138" applyFont="1" applyFill="1" applyBorder="1" applyAlignment="1">
      <alignment horizontal="center" vertical="center"/>
    </xf>
    <xf numFmtId="168" fontId="14" fillId="8" borderId="73" xfId="0" applyNumberFormat="1" applyFont="1" applyFill="1" applyBorder="1" applyAlignment="1">
      <alignment vertical="center"/>
    </xf>
    <xf numFmtId="164" fontId="0" fillId="8" borderId="70" xfId="138" applyFont="1" applyFill="1" applyBorder="1" applyAlignment="1">
      <alignment vertical="center"/>
    </xf>
    <xf numFmtId="168" fontId="14" fillId="8" borderId="70" xfId="0" applyNumberFormat="1" applyFont="1" applyFill="1" applyBorder="1"/>
    <xf numFmtId="168" fontId="14" fillId="8" borderId="73" xfId="0" applyNumberFormat="1" applyFont="1" applyFill="1" applyBorder="1"/>
    <xf numFmtId="168" fontId="45" fillId="8" borderId="70" xfId="0" applyNumberFormat="1" applyFont="1" applyFill="1" applyBorder="1"/>
    <xf numFmtId="168" fontId="45" fillId="8" borderId="73" xfId="0" applyNumberFormat="1" applyFont="1" applyFill="1" applyBorder="1"/>
    <xf numFmtId="168" fontId="45" fillId="8" borderId="73" xfId="0" applyNumberFormat="1" applyFont="1" applyFill="1" applyBorder="1" applyAlignment="1">
      <alignment vertical="center"/>
    </xf>
    <xf numFmtId="0" fontId="47" fillId="8" borderId="70" xfId="0" applyFont="1" applyFill="1" applyBorder="1" applyAlignment="1">
      <alignment vertical="center" wrapText="1"/>
    </xf>
    <xf numFmtId="0" fontId="48" fillId="8" borderId="70" xfId="0" applyFont="1" applyFill="1" applyBorder="1" applyAlignment="1">
      <alignment vertical="center"/>
    </xf>
    <xf numFmtId="0" fontId="0" fillId="8" borderId="70" xfId="0" applyFill="1" applyBorder="1" applyAlignment="1">
      <alignment vertical="center" wrapText="1"/>
    </xf>
    <xf numFmtId="0" fontId="0" fillId="8" borderId="70" xfId="0" quotePrefix="1" applyFill="1" applyBorder="1" applyAlignment="1">
      <alignment vertical="center" wrapText="1"/>
    </xf>
    <xf numFmtId="168" fontId="14" fillId="8" borderId="77" xfId="0" applyNumberFormat="1" applyFont="1" applyFill="1" applyBorder="1" applyAlignment="1">
      <alignment horizontal="center"/>
    </xf>
    <xf numFmtId="168" fontId="14" fillId="8" borderId="0" xfId="0" applyNumberFormat="1" applyFont="1" applyFill="1" applyAlignment="1">
      <alignment horizontal="center"/>
    </xf>
    <xf numFmtId="168" fontId="45" fillId="8" borderId="0" xfId="0" applyNumberFormat="1" applyFont="1" applyFill="1" applyAlignment="1">
      <alignment horizontal="center"/>
    </xf>
    <xf numFmtId="0" fontId="0" fillId="8" borderId="70" xfId="0" applyFill="1" applyBorder="1" applyAlignment="1">
      <alignment horizontal="center" vertical="center"/>
    </xf>
    <xf numFmtId="164" fontId="0" fillId="8" borderId="70" xfId="138" applyFont="1" applyFill="1" applyBorder="1" applyAlignment="1">
      <alignment horizontal="center"/>
    </xf>
    <xf numFmtId="168" fontId="14" fillId="8" borderId="75" xfId="0" applyNumberFormat="1" applyFont="1" applyFill="1" applyBorder="1"/>
    <xf numFmtId="178" fontId="0" fillId="8" borderId="70" xfId="138" applyNumberFormat="1" applyFont="1" applyFill="1" applyBorder="1" applyAlignment="1">
      <alignment horizontal="right"/>
    </xf>
    <xf numFmtId="178" fontId="0" fillId="8" borderId="70" xfId="0" applyNumberFormat="1" applyFill="1" applyBorder="1" applyAlignment="1">
      <alignment horizontal="right"/>
    </xf>
    <xf numFmtId="1" fontId="14" fillId="9" borderId="3" xfId="0" applyNumberFormat="1" applyFont="1" applyFill="1" applyBorder="1" applyAlignment="1">
      <alignment horizontal="center"/>
    </xf>
    <xf numFmtId="168" fontId="3" fillId="8" borderId="69" xfId="0" applyNumberFormat="1" applyFont="1" applyFill="1" applyBorder="1"/>
    <xf numFmtId="168" fontId="14" fillId="2" borderId="70" xfId="0" applyNumberFormat="1" applyFont="1" applyFill="1" applyBorder="1" applyAlignment="1">
      <alignment horizontal="center" vertical="center"/>
    </xf>
    <xf numFmtId="168" fontId="14" fillId="2" borderId="70" xfId="0" applyNumberFormat="1" applyFont="1" applyFill="1" applyBorder="1" applyAlignment="1">
      <alignment vertical="center"/>
    </xf>
    <xf numFmtId="168" fontId="22" fillId="2" borderId="71" xfId="0" applyNumberFormat="1" applyFont="1" applyFill="1" applyBorder="1" applyAlignment="1">
      <alignment vertical="center" wrapText="1"/>
    </xf>
    <xf numFmtId="1" fontId="32" fillId="10" borderId="3" xfId="0" applyNumberFormat="1" applyFont="1" applyFill="1" applyBorder="1" applyAlignment="1">
      <alignment horizontal="center"/>
    </xf>
    <xf numFmtId="1" fontId="14" fillId="10" borderId="68" xfId="0" applyNumberFormat="1" applyFont="1" applyFill="1" applyBorder="1"/>
    <xf numFmtId="1" fontId="26" fillId="10" borderId="3" xfId="0" applyNumberFormat="1" applyFont="1" applyFill="1" applyBorder="1" applyAlignment="1">
      <alignment horizontal="center"/>
    </xf>
    <xf numFmtId="1" fontId="14" fillId="10" borderId="68" xfId="0" applyNumberFormat="1" applyFont="1" applyFill="1" applyBorder="1" applyAlignment="1">
      <alignment horizontal="center"/>
    </xf>
    <xf numFmtId="168" fontId="26" fillId="10" borderId="3" xfId="0" applyNumberFormat="1" applyFont="1" applyFill="1" applyBorder="1"/>
    <xf numFmtId="0" fontId="42" fillId="10" borderId="68" xfId="0" applyFont="1" applyFill="1" applyBorder="1" applyAlignment="1">
      <alignment horizontal="center"/>
    </xf>
    <xf numFmtId="0" fontId="37" fillId="10" borderId="14" xfId="0" applyFont="1" applyFill="1" applyBorder="1" applyAlignment="1">
      <alignment horizontal="center"/>
    </xf>
    <xf numFmtId="168" fontId="14" fillId="10" borderId="2" xfId="0" applyNumberFormat="1" applyFont="1" applyFill="1" applyBorder="1"/>
    <xf numFmtId="168" fontId="33" fillId="10" borderId="3" xfId="0" applyNumberFormat="1" applyFont="1" applyFill="1" applyBorder="1" applyAlignment="1">
      <alignment horizontal="center"/>
    </xf>
    <xf numFmtId="0" fontId="2" fillId="10" borderId="4" xfId="0" applyFont="1" applyFill="1" applyBorder="1"/>
    <xf numFmtId="168" fontId="14" fillId="10" borderId="3" xfId="0" applyNumberFormat="1" applyFont="1" applyFill="1" applyBorder="1"/>
    <xf numFmtId="164" fontId="14" fillId="10" borderId="3" xfId="138" applyFont="1" applyFill="1" applyBorder="1" applyAlignment="1">
      <alignment horizontal="right"/>
    </xf>
    <xf numFmtId="9" fontId="0" fillId="10" borderId="14" xfId="139" applyFont="1" applyFill="1" applyBorder="1" applyAlignment="1">
      <alignment horizontal="center"/>
    </xf>
    <xf numFmtId="1" fontId="14" fillId="10" borderId="3" xfId="0" applyNumberFormat="1" applyFont="1" applyFill="1" applyBorder="1" applyAlignment="1">
      <alignment horizontal="center"/>
    </xf>
    <xf numFmtId="1" fontId="16" fillId="10" borderId="3" xfId="0" applyNumberFormat="1" applyFont="1" applyFill="1" applyBorder="1" applyAlignment="1">
      <alignment horizontal="center"/>
    </xf>
    <xf numFmtId="0" fontId="19" fillId="10" borderId="68" xfId="0" applyFont="1" applyFill="1" applyBorder="1" applyAlignment="1">
      <alignment horizontal="center"/>
    </xf>
    <xf numFmtId="1" fontId="5" fillId="6" borderId="9" xfId="0" applyNumberFormat="1" applyFont="1" applyFill="1" applyBorder="1" applyAlignment="1">
      <alignment horizontal="center"/>
    </xf>
    <xf numFmtId="1" fontId="5" fillId="6" borderId="7" xfId="0" applyNumberFormat="1" applyFont="1" applyFill="1" applyBorder="1" applyAlignment="1">
      <alignment horizontal="center"/>
    </xf>
    <xf numFmtId="1" fontId="5" fillId="6" borderId="10" xfId="0" applyNumberFormat="1" applyFont="1" applyFill="1" applyBorder="1" applyAlignment="1">
      <alignment horizontal="center"/>
    </xf>
    <xf numFmtId="0" fontId="34" fillId="2" borderId="11" xfId="0" applyFont="1" applyFill="1" applyBorder="1" applyAlignment="1">
      <alignment horizontal="center"/>
    </xf>
    <xf numFmtId="1" fontId="34" fillId="2" borderId="12" xfId="0" applyNumberFormat="1" applyFont="1" applyFill="1" applyBorder="1" applyAlignment="1">
      <alignment horizontal="center"/>
    </xf>
    <xf numFmtId="1" fontId="34" fillId="2" borderId="13" xfId="0" applyNumberFormat="1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1" fontId="4" fillId="3" borderId="17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174" fontId="22" fillId="2" borderId="63" xfId="0" applyNumberFormat="1" applyFont="1" applyFill="1" applyBorder="1" applyAlignment="1">
      <alignment horizontal="center" vertical="center"/>
    </xf>
    <xf numFmtId="174" fontId="22" fillId="2" borderId="49" xfId="0" applyNumberFormat="1" applyFont="1" applyFill="1" applyBorder="1" applyAlignment="1">
      <alignment horizontal="center" vertical="center"/>
    </xf>
    <xf numFmtId="174" fontId="22" fillId="2" borderId="64" xfId="0" applyNumberFormat="1" applyFont="1" applyFill="1" applyBorder="1" applyAlignment="1">
      <alignment horizontal="center" vertical="center"/>
    </xf>
    <xf numFmtId="171" fontId="22" fillId="2" borderId="63" xfId="0" applyNumberFormat="1" applyFont="1" applyFill="1" applyBorder="1" applyAlignment="1">
      <alignment horizontal="center" vertical="center"/>
    </xf>
    <xf numFmtId="171" fontId="22" fillId="2" borderId="49" xfId="0" applyNumberFormat="1" applyFont="1" applyFill="1" applyBorder="1" applyAlignment="1">
      <alignment horizontal="center" vertical="center"/>
    </xf>
    <xf numFmtId="171" fontId="22" fillId="2" borderId="64" xfId="0" applyNumberFormat="1" applyFont="1" applyFill="1" applyBorder="1" applyAlignment="1">
      <alignment horizontal="center" vertical="center"/>
    </xf>
    <xf numFmtId="174" fontId="22" fillId="2" borderId="11" xfId="0" applyNumberFormat="1" applyFont="1" applyFill="1" applyBorder="1" applyAlignment="1">
      <alignment horizontal="center" vertical="center"/>
    </xf>
    <xf numFmtId="174" fontId="22" fillId="2" borderId="12" xfId="0" applyNumberFormat="1" applyFont="1" applyFill="1" applyBorder="1" applyAlignment="1">
      <alignment horizontal="center" vertical="center"/>
    </xf>
    <xf numFmtId="174" fontId="22" fillId="2" borderId="13" xfId="0" applyNumberFormat="1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71" fontId="22" fillId="2" borderId="12" xfId="0" applyNumberFormat="1" applyFont="1" applyFill="1" applyBorder="1" applyAlignment="1">
      <alignment horizontal="center" vertical="center"/>
    </xf>
    <xf numFmtId="171" fontId="22" fillId="2" borderId="65" xfId="0" applyNumberFormat="1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1" fontId="21" fillId="2" borderId="29" xfId="0" applyNumberFormat="1" applyFont="1" applyFill="1" applyBorder="1" applyAlignment="1">
      <alignment horizontal="center" vertical="center"/>
    </xf>
    <xf numFmtId="1" fontId="21" fillId="2" borderId="30" xfId="0" applyNumberFormat="1" applyFont="1" applyFill="1" applyBorder="1" applyAlignment="1">
      <alignment horizontal="center" vertical="center"/>
    </xf>
    <xf numFmtId="1" fontId="22" fillId="6" borderId="37" xfId="0" applyNumberFormat="1" applyFont="1" applyFill="1" applyBorder="1" applyAlignment="1">
      <alignment horizontal="center"/>
    </xf>
    <xf numFmtId="1" fontId="22" fillId="6" borderId="7" xfId="0" applyNumberFormat="1" applyFont="1" applyFill="1" applyBorder="1" applyAlignment="1">
      <alignment horizontal="center"/>
    </xf>
    <xf numFmtId="1" fontId="22" fillId="6" borderId="38" xfId="0" applyNumberFormat="1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 vertical="center"/>
    </xf>
    <xf numFmtId="170" fontId="3" fillId="2" borderId="45" xfId="0" applyNumberFormat="1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wrapText="1"/>
    </xf>
    <xf numFmtId="1" fontId="3" fillId="2" borderId="25" xfId="0" applyNumberFormat="1" applyFont="1" applyFill="1" applyBorder="1" applyAlignment="1">
      <alignment horizontal="center" vertical="center" wrapText="1"/>
    </xf>
    <xf numFmtId="1" fontId="3" fillId="2" borderId="53" xfId="0" applyNumberFormat="1" applyFont="1" applyFill="1" applyBorder="1" applyAlignment="1">
      <alignment horizontal="center" vertical="center" wrapText="1"/>
    </xf>
    <xf numFmtId="1" fontId="3" fillId="2" borderId="54" xfId="0" applyNumberFormat="1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169" fontId="3" fillId="2" borderId="49" xfId="0" applyNumberFormat="1" applyFont="1" applyFill="1" applyBorder="1" applyAlignment="1">
      <alignment horizontal="center"/>
    </xf>
    <xf numFmtId="169" fontId="3" fillId="2" borderId="50" xfId="0" applyNumberFormat="1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170" fontId="3" fillId="2" borderId="52" xfId="0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</cellXfs>
  <cellStyles count="147">
    <cellStyle name="Estilo 1" xfId="141" xr:uid="{00000000-0005-0000-0000-000000000000}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Millares 2" xfId="135" xr:uid="{00000000-0005-0000-0000-000088000000}"/>
    <cellStyle name="Moneda [0]" xfId="138" builtinId="7"/>
    <cellStyle name="Moneda [0] 14" xfId="146" xr:uid="{D5F2538A-3E40-4493-8BAD-BFD5D3C309F2}"/>
    <cellStyle name="Moneda 2" xfId="137" xr:uid="{00000000-0005-0000-0000-00008A000000}"/>
    <cellStyle name="Normal" xfId="0" builtinId="0"/>
    <cellStyle name="Normal 2" xfId="136" xr:uid="{00000000-0005-0000-0000-00008C000000}"/>
    <cellStyle name="Normal 2 2" xfId="140" xr:uid="{00000000-0005-0000-0000-00008D000000}"/>
    <cellStyle name="Normal 2 2 2" xfId="142" xr:uid="{00000000-0005-0000-0000-00008E000000}"/>
    <cellStyle name="Normal 2 2 2 2" xfId="144" xr:uid="{9FA705B0-52A9-4F65-8A46-E3B55BBB0B99}"/>
    <cellStyle name="Normal 29" xfId="143" xr:uid="{00000000-0005-0000-0000-00008F000000}"/>
    <cellStyle name="Normal 43" xfId="145" xr:uid="{0D21FF0C-A951-4EA6-BEC9-5C1E0D483BCC}"/>
    <cellStyle name="Porcentaje" xfId="13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158750</xdr:rowOff>
    </xdr:from>
    <xdr:to>
      <xdr:col>1</xdr:col>
      <xdr:colOff>1704435</xdr:colOff>
      <xdr:row>7</xdr:row>
      <xdr:rowOff>79375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E46DBB-EB52-3D40-96CC-E32A3F3FE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58750"/>
          <a:ext cx="1704435" cy="125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V35"/>
  <sheetViews>
    <sheetView tabSelected="1" zoomScale="80" zoomScaleNormal="80" zoomScalePageLayoutView="80" workbookViewId="0">
      <selection activeCell="C9" sqref="C9:P9"/>
    </sheetView>
  </sheetViews>
  <sheetFormatPr baseColWidth="10" defaultRowHeight="15"/>
  <cols>
    <col min="1" max="1" width="6.83203125" style="51" customWidth="1"/>
    <col min="2" max="2" width="43.1640625" style="51" customWidth="1"/>
    <col min="3" max="3" width="15.83203125" style="51" customWidth="1"/>
    <col min="4" max="4" width="41.1640625" style="51" customWidth="1"/>
    <col min="5" max="5" width="17.6640625" style="51" customWidth="1"/>
    <col min="6" max="6" width="15.33203125" style="51" bestFit="1" customWidth="1"/>
    <col min="7" max="7" width="8" style="51" customWidth="1"/>
    <col min="8" max="8" width="12.83203125" style="51" customWidth="1"/>
    <col min="9" max="9" width="18" style="51" customWidth="1"/>
    <col min="10" max="10" width="28.6640625" style="51" customWidth="1"/>
    <col min="11" max="11" width="1.6640625" style="51" customWidth="1"/>
    <col min="12" max="12" width="20.83203125" style="51" customWidth="1"/>
    <col min="13" max="13" width="1.5" style="51" customWidth="1"/>
    <col min="14" max="14" width="20.83203125" style="51" customWidth="1"/>
    <col min="15" max="15" width="1.5" style="51" customWidth="1"/>
    <col min="16" max="16" width="20.83203125" style="51" customWidth="1"/>
    <col min="17" max="17" width="1.5" style="51" customWidth="1"/>
    <col min="18" max="18" width="16.33203125" bestFit="1" customWidth="1"/>
    <col min="19" max="19" width="1.5" style="51" customWidth="1"/>
    <col min="20" max="20" width="16.33203125" bestFit="1" customWidth="1"/>
    <col min="22" max="22" width="17" bestFit="1" customWidth="1"/>
  </cols>
  <sheetData>
    <row r="1" spans="1:2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0" ht="1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2"/>
      <c r="M2" s="1"/>
      <c r="N2" s="1"/>
      <c r="O2" s="1"/>
      <c r="P2" s="1"/>
      <c r="Q2" s="1"/>
      <c r="S2" s="1"/>
    </row>
    <row r="3" spans="1:20" ht="15" customHeight="1">
      <c r="A3" s="1"/>
      <c r="B3" s="1"/>
      <c r="C3" s="1"/>
      <c r="D3" s="1"/>
      <c r="E3" s="1"/>
      <c r="F3" s="1"/>
      <c r="G3" s="1"/>
      <c r="H3" s="1"/>
      <c r="I3" s="3"/>
      <c r="J3" s="172">
        <v>1</v>
      </c>
      <c r="K3" s="173"/>
      <c r="L3" s="172" t="s">
        <v>0</v>
      </c>
      <c r="M3" s="6"/>
      <c r="N3" s="1"/>
      <c r="O3" s="1"/>
      <c r="P3" s="1"/>
      <c r="Q3" s="1"/>
      <c r="S3" s="1"/>
    </row>
    <row r="4" spans="1:20" ht="15" customHeight="1">
      <c r="A4" s="1"/>
      <c r="B4" s="1"/>
      <c r="C4" s="1"/>
      <c r="D4" s="1"/>
      <c r="E4" s="1"/>
      <c r="F4" s="1"/>
      <c r="G4" s="1"/>
      <c r="H4" s="1"/>
      <c r="I4" s="3"/>
      <c r="J4" s="172">
        <v>2</v>
      </c>
      <c r="K4" s="173"/>
      <c r="L4" s="172" t="s">
        <v>1</v>
      </c>
      <c r="M4" s="6"/>
      <c r="N4" s="1"/>
      <c r="O4" s="1"/>
      <c r="P4" s="1"/>
      <c r="Q4" s="1"/>
      <c r="S4" s="1"/>
    </row>
    <row r="5" spans="1:20" ht="15" customHeight="1">
      <c r="A5" s="1"/>
      <c r="B5" s="1"/>
      <c r="C5" s="1"/>
      <c r="D5" s="1"/>
      <c r="E5" s="1"/>
      <c r="F5" s="1"/>
      <c r="G5" s="1"/>
      <c r="H5" s="1"/>
      <c r="I5" s="3"/>
      <c r="J5" s="172">
        <v>3</v>
      </c>
      <c r="K5" s="173"/>
      <c r="L5" s="172" t="s">
        <v>2</v>
      </c>
      <c r="M5" s="6"/>
      <c r="N5" s="1"/>
      <c r="O5" s="1"/>
      <c r="P5" s="1"/>
      <c r="Q5" s="1"/>
      <c r="S5" s="1"/>
    </row>
    <row r="6" spans="1:20" ht="15" customHeight="1">
      <c r="A6" s="1"/>
      <c r="B6" s="1"/>
      <c r="C6" s="1"/>
      <c r="D6" s="1"/>
      <c r="E6" s="1"/>
      <c r="F6" s="1"/>
      <c r="G6" s="1"/>
      <c r="H6" s="1"/>
      <c r="I6" s="3"/>
      <c r="J6" s="172">
        <v>4</v>
      </c>
      <c r="K6" s="173"/>
      <c r="L6" s="172" t="s">
        <v>57</v>
      </c>
      <c r="M6" s="6"/>
      <c r="N6" s="1"/>
      <c r="O6" s="1"/>
      <c r="P6" s="1"/>
      <c r="Q6" s="1"/>
      <c r="S6" s="1"/>
    </row>
    <row r="7" spans="1:20" ht="15" customHeight="1">
      <c r="A7" s="1"/>
      <c r="B7" s="1"/>
      <c r="C7" s="1"/>
      <c r="D7" s="1"/>
      <c r="E7" s="1"/>
      <c r="F7" s="1"/>
      <c r="G7" s="1"/>
      <c r="H7" s="1"/>
      <c r="I7" s="1"/>
      <c r="J7" s="172">
        <v>5</v>
      </c>
      <c r="K7" s="173"/>
      <c r="L7" s="172" t="s">
        <v>58</v>
      </c>
      <c r="M7" s="6"/>
      <c r="N7" s="1"/>
      <c r="O7" s="1"/>
      <c r="P7" s="1"/>
      <c r="Q7" s="1"/>
      <c r="S7" s="1"/>
    </row>
    <row r="8" spans="1:20" ht="15" customHeight="1">
      <c r="A8" s="1"/>
      <c r="B8" s="1"/>
      <c r="C8" s="1"/>
      <c r="D8" s="1"/>
      <c r="E8" s="1"/>
      <c r="F8" s="1"/>
      <c r="G8" s="1"/>
      <c r="H8" s="1"/>
      <c r="I8" s="1"/>
      <c r="J8" s="172">
        <v>6</v>
      </c>
      <c r="K8" s="216"/>
      <c r="L8" s="172" t="s">
        <v>59</v>
      </c>
      <c r="M8" s="1"/>
      <c r="N8" s="1"/>
      <c r="O8" s="1"/>
      <c r="P8" s="1"/>
      <c r="Q8" s="1"/>
      <c r="S8" s="1"/>
    </row>
    <row r="9" spans="1:20" ht="25" customHeight="1">
      <c r="A9" s="7"/>
      <c r="B9" s="8" t="s">
        <v>51</v>
      </c>
      <c r="C9" s="346" t="s">
        <v>63</v>
      </c>
      <c r="D9" s="346"/>
      <c r="E9" s="346"/>
      <c r="F9" s="346"/>
      <c r="G9" s="346"/>
      <c r="H9" s="346"/>
      <c r="I9" s="346"/>
      <c r="J9" s="346"/>
      <c r="K9" s="346"/>
      <c r="L9" s="346"/>
      <c r="M9" s="346"/>
      <c r="N9" s="346"/>
      <c r="O9" s="346"/>
      <c r="P9" s="346"/>
      <c r="Q9"/>
      <c r="S9"/>
    </row>
    <row r="10" spans="1:20" ht="23">
      <c r="A10" s="7"/>
      <c r="B10" s="9" t="s">
        <v>3</v>
      </c>
      <c r="C10" s="347" t="s">
        <v>64</v>
      </c>
      <c r="D10" s="348"/>
      <c r="E10" s="348"/>
      <c r="F10" s="348"/>
      <c r="G10" s="348"/>
      <c r="H10" s="348"/>
      <c r="I10" s="10"/>
      <c r="J10" s="10"/>
      <c r="K10" s="10"/>
      <c r="L10" s="10"/>
      <c r="M10" s="10"/>
      <c r="N10" s="10"/>
      <c r="O10" s="10"/>
      <c r="P10" s="10"/>
      <c r="Q10" s="10"/>
      <c r="S10" s="10"/>
    </row>
    <row r="11" spans="1:20" ht="23">
      <c r="A11" s="11"/>
      <c r="B11" s="338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39"/>
      <c r="P11" s="340"/>
      <c r="Q11"/>
      <c r="S11"/>
    </row>
    <row r="12" spans="1:20" ht="23">
      <c r="A12" s="7"/>
      <c r="B12" s="341" t="s">
        <v>4</v>
      </c>
      <c r="C12" s="342"/>
      <c r="D12" s="342"/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3"/>
      <c r="Q12"/>
      <c r="S12"/>
    </row>
    <row r="13" spans="1:20">
      <c r="A13" s="1"/>
      <c r="B13" s="1"/>
      <c r="C13" s="1"/>
      <c r="D13" s="1"/>
      <c r="E13" s="1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S13" s="1"/>
    </row>
    <row r="14" spans="1:20" ht="25">
      <c r="A14" s="1"/>
      <c r="B14" s="13" t="s">
        <v>5</v>
      </c>
      <c r="C14" s="14">
        <v>45875</v>
      </c>
      <c r="D14" s="15" t="s">
        <v>60</v>
      </c>
      <c r="E14" s="16">
        <f>I17-C14</f>
        <v>72</v>
      </c>
      <c r="F14" s="1"/>
      <c r="G14" s="1"/>
      <c r="H14" s="1"/>
      <c r="I14" s="17" t="s">
        <v>76</v>
      </c>
      <c r="J14" s="18"/>
      <c r="K14" s="1"/>
      <c r="L14" s="1"/>
      <c r="M14" s="1"/>
      <c r="N14" s="1"/>
      <c r="O14" s="1"/>
      <c r="P14" s="1"/>
      <c r="Q14" s="1"/>
      <c r="S14" s="1"/>
    </row>
    <row r="15" spans="1:20" ht="25">
      <c r="A15" s="1"/>
      <c r="B15" s="13" t="s">
        <v>6</v>
      </c>
      <c r="C15" s="14">
        <v>45935</v>
      </c>
      <c r="D15" s="15" t="s">
        <v>61</v>
      </c>
      <c r="E15" s="16">
        <f>C15-C14</f>
        <v>60</v>
      </c>
      <c r="F15" s="1"/>
      <c r="G15" s="1"/>
      <c r="H15" s="1"/>
      <c r="I15" s="19" t="s">
        <v>89</v>
      </c>
      <c r="J15" s="20"/>
      <c r="K15" s="1"/>
      <c r="L15" s="2"/>
      <c r="M15" s="1"/>
      <c r="N15" s="2"/>
      <c r="O15" s="1"/>
      <c r="P15" s="2"/>
      <c r="Q15" s="1"/>
      <c r="S15" s="1"/>
    </row>
    <row r="16" spans="1:20">
      <c r="A16" s="2"/>
      <c r="B16" s="2"/>
      <c r="C16" s="2"/>
      <c r="D16" s="2"/>
      <c r="E16" s="2"/>
      <c r="F16" s="2"/>
      <c r="G16" s="1"/>
      <c r="H16" s="21"/>
      <c r="I16" s="22" t="s">
        <v>7</v>
      </c>
      <c r="J16" s="344" t="s">
        <v>8</v>
      </c>
      <c r="K16" s="5"/>
      <c r="L16" s="23" t="s">
        <v>9</v>
      </c>
      <c r="M16" s="24"/>
      <c r="N16" s="23" t="s">
        <v>10</v>
      </c>
      <c r="O16" s="24"/>
      <c r="P16" s="23" t="s">
        <v>11</v>
      </c>
      <c r="Q16" s="24"/>
      <c r="R16" s="186" t="s">
        <v>54</v>
      </c>
      <c r="S16" s="24"/>
      <c r="T16" s="211" t="s">
        <v>55</v>
      </c>
    </row>
    <row r="17" spans="1:22" ht="28">
      <c r="A17" s="25" t="s">
        <v>12</v>
      </c>
      <c r="B17" s="23" t="s">
        <v>13</v>
      </c>
      <c r="C17" s="23" t="s">
        <v>14</v>
      </c>
      <c r="D17" s="23" t="s">
        <v>15</v>
      </c>
      <c r="E17" s="23" t="s">
        <v>16</v>
      </c>
      <c r="F17" s="4" t="s">
        <v>17</v>
      </c>
      <c r="G17" s="4" t="s">
        <v>18</v>
      </c>
      <c r="H17" s="183" t="s">
        <v>53</v>
      </c>
      <c r="I17" s="26">
        <v>45947</v>
      </c>
      <c r="J17" s="345"/>
      <c r="K17" s="5"/>
      <c r="L17" s="27"/>
      <c r="M17" s="5"/>
      <c r="N17" s="27"/>
      <c r="O17" s="5"/>
      <c r="P17" s="27"/>
      <c r="Q17" s="5"/>
      <c r="R17" s="187" t="s">
        <v>38</v>
      </c>
      <c r="S17" s="5"/>
      <c r="T17" s="215">
        <v>0.05</v>
      </c>
    </row>
    <row r="18" spans="1:22" ht="20" customHeight="1">
      <c r="A18" s="28"/>
      <c r="B18" s="29"/>
      <c r="C18" s="30"/>
      <c r="D18" s="31"/>
      <c r="E18" s="32"/>
      <c r="F18" s="33"/>
      <c r="G18" s="174"/>
      <c r="H18" s="190"/>
      <c r="I18" s="175"/>
      <c r="J18" s="32"/>
      <c r="K18" s="5"/>
      <c r="L18" s="32"/>
      <c r="M18" s="5"/>
      <c r="N18" s="32"/>
      <c r="O18" s="5"/>
      <c r="P18" s="221"/>
      <c r="Q18" s="5"/>
      <c r="R18" s="188"/>
      <c r="S18" s="5"/>
      <c r="T18" s="213"/>
    </row>
    <row r="19" spans="1:22" ht="20" customHeight="1">
      <c r="A19" s="322">
        <v>1</v>
      </c>
      <c r="B19" s="323" t="s">
        <v>65</v>
      </c>
      <c r="C19" s="324" t="s">
        <v>68</v>
      </c>
      <c r="D19" s="325" t="s">
        <v>66</v>
      </c>
      <c r="E19" s="326">
        <f>'1'!G43</f>
        <v>65000</v>
      </c>
      <c r="F19" s="326" t="s">
        <v>19</v>
      </c>
      <c r="G19" s="327"/>
      <c r="H19" s="328"/>
      <c r="I19" s="329">
        <f>'1'!M43</f>
        <v>0</v>
      </c>
      <c r="J19" s="330"/>
      <c r="K19" s="331"/>
      <c r="L19" s="326">
        <f>+'1'!I43</f>
        <v>65000</v>
      </c>
      <c r="M19" s="331"/>
      <c r="N19" s="332">
        <f>'1'!K43</f>
        <v>65000</v>
      </c>
      <c r="O19" s="331"/>
      <c r="P19" s="333">
        <f t="shared" ref="P19" si="0">E19-L19</f>
        <v>0</v>
      </c>
      <c r="Q19" s="331"/>
      <c r="R19" s="334">
        <f t="shared" ref="R19" si="1">L19/E19</f>
        <v>1</v>
      </c>
      <c r="S19" s="197"/>
      <c r="T19" s="233" t="s">
        <v>62</v>
      </c>
      <c r="V19" s="185"/>
    </row>
    <row r="20" spans="1:22" ht="20" customHeight="1">
      <c r="A20" s="230">
        <v>2</v>
      </c>
      <c r="B20" s="269" t="s">
        <v>69</v>
      </c>
      <c r="C20" s="317" t="s">
        <v>71</v>
      </c>
      <c r="D20" s="287" t="s">
        <v>70</v>
      </c>
      <c r="E20" s="231">
        <f>'2'!G44</f>
        <v>1900000</v>
      </c>
      <c r="F20" s="231" t="s">
        <v>19</v>
      </c>
      <c r="G20" s="232">
        <v>2</v>
      </c>
      <c r="H20" s="189">
        <v>2</v>
      </c>
      <c r="I20" s="195">
        <f>'2'!M44</f>
        <v>450000</v>
      </c>
      <c r="J20" s="196" t="s">
        <v>93</v>
      </c>
      <c r="K20" s="197"/>
      <c r="L20" s="199">
        <f>+'2'!I44</f>
        <v>1900000</v>
      </c>
      <c r="M20" s="197"/>
      <c r="N20" s="194">
        <f>'2'!K44</f>
        <v>1450000</v>
      </c>
      <c r="O20" s="197"/>
      <c r="P20" s="220">
        <f>E20-L20</f>
        <v>0</v>
      </c>
      <c r="Q20" s="197"/>
      <c r="R20" s="198">
        <f t="shared" ref="R20" si="2">L20/E20</f>
        <v>1</v>
      </c>
      <c r="S20" s="197"/>
      <c r="T20" s="233" t="s">
        <v>62</v>
      </c>
      <c r="V20" s="185"/>
    </row>
    <row r="21" spans="1:22" ht="18.75" customHeight="1">
      <c r="A21" s="336">
        <v>3</v>
      </c>
      <c r="B21" s="323" t="s">
        <v>73</v>
      </c>
      <c r="C21" s="335" t="s">
        <v>79</v>
      </c>
      <c r="D21" s="325" t="s">
        <v>74</v>
      </c>
      <c r="E21" s="326">
        <f>'3'!G46</f>
        <v>34680</v>
      </c>
      <c r="F21" s="326" t="s">
        <v>19</v>
      </c>
      <c r="G21" s="337"/>
      <c r="H21" s="328"/>
      <c r="I21" s="329">
        <f>'3'!M46</f>
        <v>0</v>
      </c>
      <c r="J21" s="330"/>
      <c r="K21" s="331"/>
      <c r="L21" s="326">
        <f>+'3'!I46</f>
        <v>34680</v>
      </c>
      <c r="M21" s="331"/>
      <c r="N21" s="332">
        <f>'3'!K46</f>
        <v>34680</v>
      </c>
      <c r="O21" s="331"/>
      <c r="P21" s="333">
        <f t="shared" ref="P21" si="3">E21-L21</f>
        <v>0</v>
      </c>
      <c r="Q21" s="331"/>
      <c r="R21" s="334">
        <f t="shared" ref="R21" si="4">L21/E21</f>
        <v>1</v>
      </c>
      <c r="S21" s="197"/>
      <c r="T21" s="214"/>
    </row>
    <row r="22" spans="1:22" ht="20" customHeight="1">
      <c r="A22" s="34"/>
      <c r="B22" s="23" t="s">
        <v>20</v>
      </c>
      <c r="C22" s="35"/>
      <c r="D22" s="35"/>
      <c r="E22" s="36">
        <f>SUM(E18:E21)</f>
        <v>1999680</v>
      </c>
      <c r="F22" s="37"/>
      <c r="G22" s="176"/>
      <c r="H22" s="191"/>
      <c r="I22" s="177">
        <f>SUM(I18:I21)</f>
        <v>450000</v>
      </c>
      <c r="J22" s="38"/>
      <c r="K22" s="5"/>
      <c r="L22" s="36">
        <f>SUM(L18:L21)</f>
        <v>1999680</v>
      </c>
      <c r="M22" s="36">
        <f>SUM(M18:M21)</f>
        <v>0</v>
      </c>
      <c r="N22" s="36">
        <f>SUM(N18:N21)</f>
        <v>1549680</v>
      </c>
      <c r="O22" s="218"/>
      <c r="P22" s="36">
        <f>SUM(P18:P21)</f>
        <v>0</v>
      </c>
      <c r="Q22" s="218"/>
      <c r="R22" s="219">
        <f>L22/E22</f>
        <v>1</v>
      </c>
      <c r="S22" s="5"/>
      <c r="T22" s="212"/>
    </row>
    <row r="23" spans="1:22">
      <c r="A23" s="39"/>
      <c r="B23" s="39"/>
      <c r="C23" s="39"/>
      <c r="D23" s="39"/>
      <c r="E23" s="40"/>
      <c r="F23" s="39"/>
      <c r="G23" s="40"/>
      <c r="H23" s="178"/>
      <c r="I23" s="40"/>
      <c r="J23" s="39"/>
      <c r="K23" s="41"/>
      <c r="L23" s="39"/>
      <c r="M23" s="41"/>
      <c r="N23" s="39"/>
      <c r="O23" s="41"/>
      <c r="P23" s="39"/>
      <c r="Q23" s="41"/>
      <c r="S23" s="41"/>
    </row>
    <row r="24" spans="1:22" ht="16">
      <c r="A24" s="42"/>
      <c r="B24" s="42"/>
      <c r="C24" s="42"/>
      <c r="D24" s="43" t="s">
        <v>21</v>
      </c>
      <c r="E24" s="44">
        <f>E22*0.19</f>
        <v>379939.2</v>
      </c>
      <c r="F24" s="45"/>
      <c r="G24" s="46" t="s">
        <v>21</v>
      </c>
      <c r="H24" s="46"/>
      <c r="I24" s="44">
        <f>+I22*0.19</f>
        <v>85500</v>
      </c>
      <c r="J24" s="47"/>
      <c r="K24" s="42"/>
      <c r="L24" s="42"/>
      <c r="M24" s="42"/>
      <c r="N24" s="42"/>
      <c r="O24" s="42"/>
      <c r="P24" s="42"/>
      <c r="Q24" s="42"/>
      <c r="S24" s="42"/>
    </row>
    <row r="25" spans="1:22">
      <c r="A25" s="42"/>
      <c r="B25" s="42"/>
      <c r="C25" s="42"/>
      <c r="D25" s="48"/>
      <c r="E25" s="44">
        <f>SUM(E22:E24)</f>
        <v>2379619.2000000002</v>
      </c>
      <c r="F25" s="47"/>
      <c r="G25" s="42"/>
      <c r="H25" s="41"/>
      <c r="I25" s="44">
        <f>SUM(I22:I24)</f>
        <v>535500</v>
      </c>
      <c r="J25" s="47"/>
      <c r="K25" s="42"/>
      <c r="L25" s="42"/>
      <c r="M25" s="42"/>
      <c r="N25" s="42"/>
      <c r="O25" s="42"/>
      <c r="P25" s="42"/>
      <c r="Q25" s="42"/>
      <c r="S25" s="42"/>
    </row>
    <row r="26" spans="1:22">
      <c r="A26" s="42"/>
      <c r="B26" s="217"/>
      <c r="C26" s="42"/>
      <c r="D26" s="42"/>
      <c r="E26" s="39"/>
      <c r="F26" s="42"/>
      <c r="G26" s="42"/>
      <c r="H26" s="41"/>
      <c r="I26" s="39"/>
      <c r="J26" s="42"/>
      <c r="K26" s="42"/>
      <c r="L26" s="42"/>
      <c r="M26" s="42"/>
      <c r="N26" s="42"/>
      <c r="O26" s="42"/>
      <c r="P26" s="42"/>
      <c r="Q26" s="42"/>
      <c r="S26" s="42"/>
    </row>
    <row r="27" spans="1:22">
      <c r="A27" s="42"/>
      <c r="B27" s="217"/>
      <c r="C27" s="42"/>
      <c r="D27" s="42"/>
      <c r="E27" s="19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S27" s="42"/>
    </row>
    <row r="28" spans="1:22">
      <c r="A28" s="42"/>
      <c r="B28" s="42"/>
      <c r="C28" s="42"/>
      <c r="D28" s="42"/>
      <c r="E28" s="19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S28" s="42"/>
    </row>
    <row r="29" spans="1:22">
      <c r="A29" s="42"/>
      <c r="B29" s="42"/>
      <c r="C29" s="42"/>
      <c r="D29" s="42"/>
      <c r="E29" s="19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S29" s="42"/>
    </row>
    <row r="30" spans="1:22">
      <c r="A30" s="42"/>
      <c r="B30" s="42"/>
      <c r="C30" s="42"/>
      <c r="D30" s="42"/>
      <c r="E30" s="192"/>
      <c r="F30" s="42"/>
      <c r="G30" s="42"/>
      <c r="H30" s="42"/>
      <c r="I30" s="42"/>
      <c r="J30" s="42"/>
      <c r="L30" s="49" t="s">
        <v>22</v>
      </c>
      <c r="M30" s="42"/>
      <c r="N30" s="42"/>
      <c r="O30" s="42"/>
      <c r="P30" s="42"/>
      <c r="Q30" s="42"/>
      <c r="S30" s="42"/>
    </row>
    <row r="31" spans="1:2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S31" s="42"/>
    </row>
    <row r="32" spans="1:2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S32" s="50"/>
    </row>
    <row r="33" spans="1:19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S33" s="50"/>
    </row>
    <row r="35" spans="1:19">
      <c r="B35"/>
      <c r="C35"/>
      <c r="E35" s="184"/>
      <c r="F35" s="184"/>
    </row>
  </sheetData>
  <mergeCells count="5">
    <mergeCell ref="B11:P11"/>
    <mergeCell ref="B12:P12"/>
    <mergeCell ref="J16:J17"/>
    <mergeCell ref="C9:P9"/>
    <mergeCell ref="C10:H10"/>
  </mergeCells>
  <phoneticPr fontId="31" type="noConversion"/>
  <pageMargins left="0.70866141732283472" right="0.70866141732283472" top="0.74803149606299213" bottom="0.74803149606299213" header="0.31496062992125984" footer="0.31496062992125984"/>
  <pageSetup scale="39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CCA5-A23D-4E32-A68D-5A65981D02CE}">
  <sheetPr>
    <tabColor theme="0" tint="-0.499984740745262"/>
    <pageSetUpPr fitToPage="1"/>
  </sheetPr>
  <dimension ref="A1:O57"/>
  <sheetViews>
    <sheetView zoomScale="70" zoomScaleNormal="70" zoomScalePageLayoutView="70" workbookViewId="0">
      <selection activeCell="J19" sqref="J19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2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5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6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61" t="s">
        <v>50</v>
      </c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3"/>
    </row>
    <row r="4" spans="1:13">
      <c r="A4" s="53"/>
      <c r="B4" s="54"/>
      <c r="C4" s="55"/>
      <c r="D4" s="55"/>
      <c r="E4" s="237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8"/>
      <c r="F5" s="60"/>
      <c r="G5" s="61"/>
      <c r="H5" s="62"/>
      <c r="I5" s="60"/>
      <c r="J5" s="62"/>
      <c r="K5" s="60"/>
      <c r="L5" s="60"/>
      <c r="M5" s="63" t="e">
        <f>+RESUMEN!#REF!</f>
        <v>#REF!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39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0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+RESUMEN!B19</f>
        <v>FENOLICO EXPRESS</v>
      </c>
      <c r="D8" s="73"/>
      <c r="E8" s="240"/>
      <c r="F8" s="74"/>
      <c r="G8" s="75"/>
      <c r="H8" s="76"/>
      <c r="I8" s="74"/>
      <c r="J8" s="76"/>
      <c r="K8" s="74"/>
      <c r="L8" s="74"/>
      <c r="M8" s="80" t="str">
        <f>+RESUMEN!I15</f>
        <v>EEPP#03</v>
      </c>
    </row>
    <row r="9" spans="1:13" ht="16">
      <c r="A9" s="53"/>
      <c r="B9" s="71" t="s">
        <v>26</v>
      </c>
      <c r="C9" s="72"/>
      <c r="D9" s="73"/>
      <c r="E9" s="241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+RESUMEN!C19</f>
        <v>78007082-K</v>
      </c>
      <c r="D10" s="84"/>
      <c r="E10" s="242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0"/>
      <c r="D11" s="84"/>
      <c r="E11" s="242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64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6"/>
    </row>
    <row r="13" spans="1:13" ht="16">
      <c r="A13" s="53"/>
      <c r="B13" s="89" t="s">
        <v>28</v>
      </c>
      <c r="C13" s="90"/>
      <c r="D13" s="90"/>
      <c r="E13" s="91">
        <f>G40</f>
        <v>65000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3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4"/>
      <c r="F15" s="102"/>
      <c r="G15" s="103" t="s">
        <v>30</v>
      </c>
      <c r="H15" s="367" t="s">
        <v>31</v>
      </c>
      <c r="I15" s="368"/>
      <c r="J15" s="369" t="s">
        <v>32</v>
      </c>
      <c r="K15" s="370"/>
      <c r="L15" s="373" t="s">
        <v>33</v>
      </c>
      <c r="M15" s="374"/>
    </row>
    <row r="16" spans="1:13">
      <c r="A16" s="53"/>
      <c r="B16" s="104" t="s">
        <v>34</v>
      </c>
      <c r="C16" s="375" t="s">
        <v>35</v>
      </c>
      <c r="D16" s="376"/>
      <c r="E16" s="376"/>
      <c r="F16" s="377"/>
      <c r="G16" s="105" t="s">
        <v>16</v>
      </c>
      <c r="H16" s="378" t="s">
        <v>36</v>
      </c>
      <c r="I16" s="379"/>
      <c r="J16" s="371"/>
      <c r="K16" s="372"/>
      <c r="L16" s="380" t="s">
        <v>37</v>
      </c>
      <c r="M16" s="381"/>
    </row>
    <row r="17" spans="1:15">
      <c r="A17" s="53"/>
      <c r="B17" s="106"/>
      <c r="C17" s="107"/>
      <c r="D17" s="256"/>
      <c r="E17" s="257"/>
      <c r="F17" s="258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182"/>
      <c r="C18" s="279" t="s">
        <v>72</v>
      </c>
      <c r="D18" s="260" t="s">
        <v>40</v>
      </c>
      <c r="E18" s="262" t="s">
        <v>41</v>
      </c>
      <c r="F18" s="260" t="s">
        <v>42</v>
      </c>
      <c r="G18" s="255"/>
      <c r="H18" s="179"/>
      <c r="I18" s="110"/>
      <c r="J18" s="111"/>
      <c r="K18" s="110"/>
      <c r="L18" s="111"/>
      <c r="M18" s="112"/>
    </row>
    <row r="19" spans="1:15">
      <c r="A19" s="53"/>
      <c r="B19" s="270">
        <v>1</v>
      </c>
      <c r="C19" s="271" t="s">
        <v>75</v>
      </c>
      <c r="D19" s="272" t="s">
        <v>67</v>
      </c>
      <c r="E19" s="272">
        <v>52</v>
      </c>
      <c r="F19" s="273">
        <v>1250</v>
      </c>
      <c r="G19" s="274">
        <f t="shared" ref="G19" si="0">+F19*E19</f>
        <v>65000</v>
      </c>
      <c r="H19" s="275">
        <v>1</v>
      </c>
      <c r="I19" s="276">
        <f>H19*G19</f>
        <v>65000</v>
      </c>
      <c r="J19" s="275">
        <v>1</v>
      </c>
      <c r="K19" s="276">
        <f>J19*G19</f>
        <v>65000</v>
      </c>
      <c r="L19" s="277">
        <f>H19-J19</f>
        <v>0</v>
      </c>
      <c r="M19" s="278">
        <f>L19*G19</f>
        <v>0</v>
      </c>
      <c r="O19" s="193"/>
    </row>
    <row r="20" spans="1:15">
      <c r="A20" s="53"/>
      <c r="B20" s="270"/>
      <c r="C20" s="271"/>
      <c r="D20" s="272"/>
      <c r="E20" s="272"/>
      <c r="F20" s="273"/>
      <c r="G20" s="274"/>
      <c r="H20" s="275"/>
      <c r="I20" s="276"/>
      <c r="J20" s="275"/>
      <c r="K20" s="276"/>
      <c r="L20" s="277"/>
      <c r="M20" s="278"/>
      <c r="O20" s="193"/>
    </row>
    <row r="21" spans="1:15">
      <c r="A21" s="53"/>
      <c r="B21" s="270"/>
      <c r="C21" s="271"/>
      <c r="D21" s="272"/>
      <c r="E21" s="272"/>
      <c r="F21" s="273"/>
      <c r="G21" s="274"/>
      <c r="H21" s="275"/>
      <c r="I21" s="276"/>
      <c r="J21" s="275"/>
      <c r="K21" s="276"/>
      <c r="L21" s="277"/>
      <c r="M21" s="278"/>
      <c r="O21" s="193"/>
    </row>
    <row r="22" spans="1:15">
      <c r="A22" s="53"/>
      <c r="B22" s="270"/>
      <c r="C22" s="271"/>
      <c r="D22" s="272"/>
      <c r="E22" s="272"/>
      <c r="F22" s="273"/>
      <c r="G22" s="274"/>
      <c r="H22" s="275"/>
      <c r="I22" s="276"/>
      <c r="J22" s="275"/>
      <c r="K22" s="276"/>
      <c r="L22" s="277"/>
      <c r="M22" s="278"/>
      <c r="O22" s="193"/>
    </row>
    <row r="23" spans="1:15">
      <c r="A23" s="53"/>
      <c r="B23" s="270"/>
      <c r="C23" s="271"/>
      <c r="D23" s="272"/>
      <c r="E23" s="272"/>
      <c r="F23" s="273"/>
      <c r="G23" s="274"/>
      <c r="H23" s="275"/>
      <c r="I23" s="276"/>
      <c r="J23" s="275"/>
      <c r="K23" s="276"/>
      <c r="L23" s="277"/>
      <c r="M23" s="278"/>
      <c r="O23" s="193"/>
    </row>
    <row r="24" spans="1:15" ht="14.25" customHeight="1">
      <c r="A24" s="53"/>
      <c r="B24" s="266"/>
      <c r="C24" s="268"/>
      <c r="D24" s="264"/>
      <c r="E24" s="265"/>
      <c r="F24" s="182"/>
      <c r="G24" s="254"/>
      <c r="H24" s="180"/>
      <c r="I24" s="114"/>
      <c r="J24" s="180"/>
      <c r="K24" s="114"/>
      <c r="L24" s="113"/>
      <c r="M24" s="115"/>
      <c r="O24" s="193"/>
    </row>
    <row r="25" spans="1:15">
      <c r="A25" s="53"/>
      <c r="B25" s="266"/>
      <c r="C25" s="253"/>
      <c r="D25" s="264"/>
      <c r="E25" s="265"/>
      <c r="F25" s="182"/>
      <c r="G25" s="254"/>
      <c r="H25" s="180"/>
      <c r="I25" s="114"/>
      <c r="J25" s="180"/>
      <c r="K25" s="114"/>
      <c r="L25" s="113"/>
      <c r="M25" s="115"/>
      <c r="O25" s="193"/>
    </row>
    <row r="26" spans="1:15">
      <c r="A26" s="53"/>
      <c r="B26" s="266"/>
      <c r="C26" s="253"/>
      <c r="D26" s="264"/>
      <c r="E26" s="265"/>
      <c r="F26" s="182"/>
      <c r="G26" s="254"/>
      <c r="H26" s="180"/>
      <c r="I26" s="114"/>
      <c r="J26" s="180"/>
      <c r="K26" s="114"/>
      <c r="L26" s="113"/>
      <c r="M26" s="115"/>
      <c r="O26" s="193"/>
    </row>
    <row r="27" spans="1:15">
      <c r="A27" s="53"/>
      <c r="B27" s="266"/>
      <c r="C27" s="253"/>
      <c r="D27" s="264"/>
      <c r="E27" s="265"/>
      <c r="F27" s="182"/>
      <c r="G27" s="254"/>
      <c r="H27" s="180"/>
      <c r="I27" s="114"/>
      <c r="J27" s="180"/>
      <c r="K27" s="114"/>
      <c r="L27" s="113"/>
      <c r="M27" s="115"/>
      <c r="O27" s="193"/>
    </row>
    <row r="28" spans="1:15">
      <c r="A28" s="53"/>
      <c r="B28" s="266"/>
      <c r="C28" s="253"/>
      <c r="D28" s="264"/>
      <c r="E28" s="265"/>
      <c r="F28" s="182"/>
      <c r="G28" s="254"/>
      <c r="H28" s="180"/>
      <c r="I28" s="114"/>
      <c r="J28" s="180"/>
      <c r="K28" s="114"/>
      <c r="L28" s="113"/>
      <c r="M28" s="115"/>
      <c r="O28" s="193"/>
    </row>
    <row r="29" spans="1:15">
      <c r="A29" s="53"/>
      <c r="B29" s="266"/>
      <c r="C29" s="253"/>
      <c r="D29" s="264"/>
      <c r="E29" s="265"/>
      <c r="F29" s="182"/>
      <c r="G29" s="254"/>
      <c r="H29" s="180"/>
      <c r="I29" s="114"/>
      <c r="J29" s="180"/>
      <c r="K29" s="114"/>
      <c r="L29" s="113"/>
      <c r="M29" s="115"/>
      <c r="O29" s="193"/>
    </row>
    <row r="30" spans="1:15">
      <c r="A30" s="53"/>
      <c r="B30" s="266"/>
      <c r="C30" s="253"/>
      <c r="D30" s="264"/>
      <c r="E30" s="265"/>
      <c r="F30" s="182"/>
      <c r="G30" s="254"/>
      <c r="H30" s="180"/>
      <c r="I30" s="114"/>
      <c r="J30" s="180"/>
      <c r="K30" s="114"/>
      <c r="L30" s="113"/>
      <c r="M30" s="115"/>
      <c r="O30" s="193"/>
    </row>
    <row r="31" spans="1:15">
      <c r="A31" s="53"/>
      <c r="B31" s="266"/>
      <c r="C31" s="253"/>
      <c r="D31" s="264"/>
      <c r="E31" s="265"/>
      <c r="F31" s="182"/>
      <c r="G31" s="254"/>
      <c r="H31" s="180"/>
      <c r="I31" s="114"/>
      <c r="J31" s="180"/>
      <c r="K31" s="114"/>
      <c r="L31" s="113"/>
      <c r="M31" s="115"/>
      <c r="O31" s="193"/>
    </row>
    <row r="32" spans="1:15">
      <c r="A32" s="53"/>
      <c r="B32" s="266"/>
      <c r="C32" s="253"/>
      <c r="D32" s="264"/>
      <c r="E32" s="265"/>
      <c r="F32" s="182"/>
      <c r="G32" s="254"/>
      <c r="H32" s="180"/>
      <c r="I32" s="114"/>
      <c r="J32" s="180"/>
      <c r="K32" s="114"/>
      <c r="L32" s="113"/>
      <c r="M32" s="115"/>
      <c r="O32" s="193"/>
    </row>
    <row r="33" spans="1:15">
      <c r="A33" s="53"/>
      <c r="B33" s="266"/>
      <c r="C33" s="253"/>
      <c r="D33" s="264"/>
      <c r="E33" s="265"/>
      <c r="F33" s="182"/>
      <c r="G33" s="254"/>
      <c r="H33" s="180"/>
      <c r="I33" s="114"/>
      <c r="J33" s="180"/>
      <c r="K33" s="114"/>
      <c r="L33" s="113"/>
      <c r="M33" s="115"/>
      <c r="O33" s="193"/>
    </row>
    <row r="34" spans="1:15">
      <c r="A34" s="53"/>
      <c r="B34" s="266"/>
      <c r="C34" s="253"/>
      <c r="D34" s="264"/>
      <c r="E34" s="265"/>
      <c r="F34" s="182"/>
      <c r="G34" s="254"/>
      <c r="H34" s="180"/>
      <c r="I34" s="114"/>
      <c r="J34" s="180"/>
      <c r="K34" s="114"/>
      <c r="L34" s="113"/>
      <c r="M34" s="115"/>
      <c r="O34" s="193"/>
    </row>
    <row r="35" spans="1:15">
      <c r="A35" s="53"/>
      <c r="B35" s="266"/>
      <c r="C35" s="253"/>
      <c r="D35" s="264"/>
      <c r="E35" s="265"/>
      <c r="F35" s="182"/>
      <c r="G35" s="254"/>
      <c r="H35" s="180"/>
      <c r="I35" s="114"/>
      <c r="J35" s="180"/>
      <c r="K35" s="114"/>
      <c r="L35" s="113"/>
      <c r="M35" s="115"/>
      <c r="O35" s="193"/>
    </row>
    <row r="36" spans="1:15">
      <c r="A36" s="53"/>
      <c r="B36" s="266"/>
      <c r="C36" s="253"/>
      <c r="D36" s="264"/>
      <c r="E36" s="265"/>
      <c r="F36" s="182"/>
      <c r="G36" s="254"/>
      <c r="H36" s="180"/>
      <c r="I36" s="114"/>
      <c r="J36" s="180"/>
      <c r="K36" s="114"/>
      <c r="L36" s="113"/>
      <c r="M36" s="115"/>
      <c r="O36" s="193"/>
    </row>
    <row r="37" spans="1:15">
      <c r="A37" s="53"/>
      <c r="B37" s="266"/>
      <c r="C37" s="253"/>
      <c r="D37" s="264"/>
      <c r="E37" s="265"/>
      <c r="F37" s="182"/>
      <c r="G37" s="254"/>
      <c r="H37" s="180"/>
      <c r="I37" s="114"/>
      <c r="J37" s="180"/>
      <c r="K37" s="114"/>
      <c r="L37" s="113"/>
      <c r="M37" s="115"/>
      <c r="O37" s="193"/>
    </row>
    <row r="38" spans="1:15">
      <c r="A38" s="53"/>
      <c r="B38" s="266"/>
      <c r="C38" s="253"/>
      <c r="D38" s="264"/>
      <c r="E38" s="265"/>
      <c r="F38" s="182"/>
      <c r="G38" s="254"/>
      <c r="H38" s="180"/>
      <c r="I38" s="114"/>
      <c r="J38" s="180"/>
      <c r="K38" s="114"/>
      <c r="L38" s="113"/>
      <c r="M38" s="115"/>
      <c r="O38" s="193"/>
    </row>
    <row r="39" spans="1:15">
      <c r="A39" s="53"/>
      <c r="B39" s="182"/>
      <c r="C39" s="253"/>
      <c r="D39" s="267"/>
      <c r="E39" s="263"/>
      <c r="F39" s="261"/>
      <c r="G39" s="254"/>
      <c r="H39" s="180"/>
      <c r="I39" s="114"/>
      <c r="J39" s="180"/>
      <c r="K39" s="114"/>
      <c r="L39" s="113"/>
      <c r="M39" s="115"/>
      <c r="O39" s="193"/>
    </row>
    <row r="40" spans="1:15">
      <c r="A40" s="53"/>
      <c r="B40" s="117"/>
      <c r="C40" s="118" t="s">
        <v>43</v>
      </c>
      <c r="D40" s="77"/>
      <c r="E40" s="257"/>
      <c r="F40" s="259"/>
      <c r="G40" s="234">
        <f>SUM(G18:G39)</f>
        <v>65000</v>
      </c>
      <c r="H40" s="121"/>
      <c r="I40" s="120">
        <f>SUM(I18:I39)</f>
        <v>65000</v>
      </c>
      <c r="J40" s="122"/>
      <c r="K40" s="120">
        <f>SUM(K18:K39)</f>
        <v>65000</v>
      </c>
      <c r="L40" s="123"/>
      <c r="M40" s="124">
        <f>SUM(M18:M39)</f>
        <v>0</v>
      </c>
    </row>
    <row r="41" spans="1:15">
      <c r="A41" s="53"/>
      <c r="B41" s="201"/>
      <c r="C41" s="202" t="s">
        <v>44</v>
      </c>
      <c r="D41" s="203"/>
      <c r="E41" s="246"/>
      <c r="F41" s="204"/>
      <c r="G41" s="205"/>
      <c r="H41" s="206"/>
      <c r="I41" s="207">
        <f>I40*F41</f>
        <v>0</v>
      </c>
      <c r="J41" s="208"/>
      <c r="K41" s="207">
        <f>K40*F41</f>
        <v>0</v>
      </c>
      <c r="L41" s="209"/>
      <c r="M41" s="210">
        <f>M40*F41</f>
        <v>0</v>
      </c>
      <c r="O41" s="193"/>
    </row>
    <row r="42" spans="1:15">
      <c r="A42" s="53"/>
      <c r="B42" s="222"/>
      <c r="C42" s="223" t="s">
        <v>56</v>
      </c>
      <c r="D42" s="224"/>
      <c r="E42" s="247"/>
      <c r="F42" s="225"/>
      <c r="G42" s="226">
        <v>0</v>
      </c>
      <c r="H42" s="227">
        <v>0</v>
      </c>
      <c r="I42" s="114">
        <f>H42*G42</f>
        <v>0</v>
      </c>
      <c r="J42" s="113">
        <v>0</v>
      </c>
      <c r="K42" s="114">
        <f>G42*J42</f>
        <v>0</v>
      </c>
      <c r="L42" s="113">
        <f>H42-J42</f>
        <v>0</v>
      </c>
      <c r="M42" s="115">
        <f>L42*G42</f>
        <v>0</v>
      </c>
    </row>
    <row r="43" spans="1:15">
      <c r="A43" s="126"/>
      <c r="B43" s="127"/>
      <c r="C43" s="128" t="s">
        <v>45</v>
      </c>
      <c r="D43" s="129"/>
      <c r="E43" s="248"/>
      <c r="F43" s="130"/>
      <c r="G43" s="131">
        <f>G40-G41+G42</f>
        <v>65000</v>
      </c>
      <c r="H43" s="4" t="s">
        <v>46</v>
      </c>
      <c r="I43" s="134">
        <f>+I40-I41</f>
        <v>65000</v>
      </c>
      <c r="J43" s="132"/>
      <c r="K43" s="134">
        <f>+K40-K41</f>
        <v>65000</v>
      </c>
      <c r="L43" s="133"/>
      <c r="M43" s="134">
        <f>+M40-M41</f>
        <v>0</v>
      </c>
    </row>
    <row r="44" spans="1:15">
      <c r="A44" s="53"/>
      <c r="B44" s="117"/>
      <c r="C44" s="118" t="s">
        <v>47</v>
      </c>
      <c r="D44" s="55"/>
      <c r="E44" s="244"/>
      <c r="F44" s="119"/>
      <c r="G44" s="120">
        <f>G43*19%</f>
        <v>12350</v>
      </c>
      <c r="H44" s="121"/>
      <c r="I44" s="120">
        <f>I43*19%</f>
        <v>12350</v>
      </c>
      <c r="J44" s="122"/>
      <c r="K44" s="120">
        <f>K43*19%</f>
        <v>12350</v>
      </c>
      <c r="L44" s="123"/>
      <c r="M44" s="120">
        <f>+M43*0.19</f>
        <v>0</v>
      </c>
      <c r="O44" s="193"/>
    </row>
    <row r="45" spans="1:15">
      <c r="A45" s="53"/>
      <c r="B45" s="125"/>
      <c r="C45" s="135" t="s">
        <v>48</v>
      </c>
      <c r="D45" s="60"/>
      <c r="E45" s="245"/>
      <c r="F45" s="116"/>
      <c r="G45" s="136">
        <f>SUM(G43:G44)</f>
        <v>77350</v>
      </c>
      <c r="H45" s="137"/>
      <c r="I45" s="136">
        <f>SUM(I43:I44)</f>
        <v>77350</v>
      </c>
      <c r="J45" s="138"/>
      <c r="K45" s="136">
        <f>SUM(K43:K44)</f>
        <v>77350</v>
      </c>
      <c r="L45" s="139"/>
      <c r="M45" s="136">
        <f>SUM(M43:M44)</f>
        <v>0</v>
      </c>
    </row>
    <row r="46" spans="1:15">
      <c r="A46" s="53"/>
      <c r="B46" s="117"/>
      <c r="C46" s="67"/>
      <c r="D46" s="67"/>
      <c r="E46" s="249"/>
      <c r="F46" s="140"/>
      <c r="G46" s="68"/>
      <c r="H46" s="141"/>
      <c r="I46" s="142"/>
      <c r="J46" s="143"/>
      <c r="K46" s="142"/>
      <c r="L46" s="144"/>
      <c r="M46" s="145"/>
      <c r="O46" s="193"/>
    </row>
    <row r="47" spans="1:15">
      <c r="A47" s="53"/>
      <c r="B47" s="146"/>
      <c r="C47" s="147"/>
      <c r="D47" s="147"/>
      <c r="E47" s="229"/>
      <c r="F47" s="148"/>
      <c r="G47" s="149"/>
      <c r="H47" s="150"/>
      <c r="I47" s="151"/>
      <c r="J47" s="152"/>
      <c r="K47" s="151"/>
      <c r="L47" s="153"/>
      <c r="M47" s="154"/>
    </row>
    <row r="48" spans="1:15">
      <c r="A48" s="53"/>
      <c r="B48" s="146"/>
      <c r="C48" s="147"/>
      <c r="D48" s="147"/>
      <c r="E48" s="229"/>
      <c r="F48" s="148"/>
      <c r="G48" s="149"/>
      <c r="H48" s="150"/>
      <c r="I48" s="151"/>
      <c r="J48" s="152"/>
      <c r="K48" s="151"/>
      <c r="L48" s="153"/>
      <c r="M48" s="154"/>
    </row>
    <row r="49" spans="1:13">
      <c r="A49" s="53"/>
      <c r="B49" s="155"/>
      <c r="C49" s="147"/>
      <c r="D49" s="147"/>
      <c r="E49" s="229"/>
      <c r="F49" s="147"/>
      <c r="G49" s="147"/>
      <c r="H49" s="156"/>
      <c r="I49" s="157"/>
      <c r="J49" s="158"/>
      <c r="K49" s="159"/>
      <c r="L49" s="158"/>
      <c r="M49" s="160"/>
    </row>
    <row r="50" spans="1:13">
      <c r="A50" s="53"/>
      <c r="B50" s="161"/>
      <c r="C50" s="77"/>
      <c r="D50" s="77"/>
      <c r="E50" s="250"/>
      <c r="F50" s="77"/>
      <c r="G50" s="162"/>
      <c r="H50" s="78"/>
      <c r="I50" s="77"/>
      <c r="J50" s="78"/>
      <c r="K50" s="77"/>
      <c r="L50" s="77"/>
      <c r="M50" s="163"/>
    </row>
    <row r="51" spans="1:13">
      <c r="A51" s="53"/>
      <c r="B51" s="155"/>
      <c r="C51" s="349"/>
      <c r="D51" s="350"/>
      <c r="E51" s="350"/>
      <c r="F51" s="351"/>
      <c r="G51" s="352"/>
      <c r="H51" s="353"/>
      <c r="I51" s="353"/>
      <c r="J51" s="354"/>
      <c r="K51" s="77"/>
      <c r="L51" s="77"/>
      <c r="M51" s="163"/>
    </row>
    <row r="52" spans="1:13">
      <c r="A52" s="53"/>
      <c r="B52" s="59"/>
      <c r="C52" s="60"/>
      <c r="D52" s="60"/>
      <c r="E52" s="238"/>
      <c r="F52" s="60"/>
      <c r="G52" s="61"/>
      <c r="H52" s="62"/>
      <c r="I52" s="60"/>
      <c r="J52" s="62"/>
      <c r="K52" s="60"/>
      <c r="L52" s="60"/>
      <c r="M52" s="164"/>
    </row>
    <row r="53" spans="1:13">
      <c r="A53" s="53"/>
      <c r="B53" s="165"/>
      <c r="C53" s="355"/>
      <c r="D53" s="356"/>
      <c r="E53" s="356"/>
      <c r="F53" s="356"/>
      <c r="G53" s="357"/>
      <c r="H53" s="358" t="s">
        <v>49</v>
      </c>
      <c r="I53" s="359"/>
      <c r="J53" s="359"/>
      <c r="K53" s="359"/>
      <c r="L53" s="359"/>
      <c r="M53" s="360"/>
    </row>
    <row r="54" spans="1:13">
      <c r="A54" s="53"/>
      <c r="B54" s="161"/>
      <c r="C54" s="77"/>
      <c r="D54" s="77"/>
      <c r="E54" s="250"/>
      <c r="F54" s="77"/>
      <c r="G54" s="162"/>
      <c r="H54" s="78"/>
      <c r="I54" s="77"/>
      <c r="J54" s="78"/>
      <c r="K54" s="77"/>
      <c r="L54" s="77"/>
      <c r="M54" s="163"/>
    </row>
    <row r="55" spans="1:13" ht="16" thickBot="1">
      <c r="A55" s="53"/>
      <c r="B55" s="166"/>
      <c r="C55" s="167"/>
      <c r="D55" s="167"/>
      <c r="E55" s="251"/>
      <c r="F55" s="167"/>
      <c r="G55" s="168"/>
      <c r="H55" s="169"/>
      <c r="I55" s="167"/>
      <c r="J55" s="169"/>
      <c r="K55" s="167"/>
      <c r="L55" s="167"/>
      <c r="M55" s="170"/>
    </row>
    <row r="57" spans="1:13">
      <c r="G57" s="228"/>
    </row>
  </sheetData>
  <mergeCells count="12">
    <mergeCell ref="C51:F51"/>
    <mergeCell ref="G51:J51"/>
    <mergeCell ref="C53:G53"/>
    <mergeCell ref="H53:M53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3864-C403-4ADD-8F90-BA91520746E7}">
  <sheetPr>
    <tabColor rgb="FFFF0000"/>
    <pageSetUpPr fitToPage="1"/>
  </sheetPr>
  <dimension ref="A1:O58"/>
  <sheetViews>
    <sheetView topLeftCell="A4" zoomScale="70" zoomScaleNormal="70" zoomScalePageLayoutView="70" workbookViewId="0">
      <selection activeCell="C32" sqref="C32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2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5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6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61" t="s">
        <v>50</v>
      </c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3"/>
    </row>
    <row r="4" spans="1:13">
      <c r="A4" s="53"/>
      <c r="B4" s="54"/>
      <c r="C4" s="55"/>
      <c r="D4" s="55"/>
      <c r="E4" s="237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8"/>
      <c r="F5" s="60"/>
      <c r="G5" s="61"/>
      <c r="H5" s="62"/>
      <c r="I5" s="60"/>
      <c r="J5" s="62"/>
      <c r="K5" s="60"/>
      <c r="L5" s="60"/>
      <c r="M5" s="63" t="e">
        <f>+RESUMEN!#REF!</f>
        <v>#REF!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39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0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JONATHAN PARDO</v>
      </c>
      <c r="D8" s="73"/>
      <c r="E8" s="240"/>
      <c r="F8" s="74"/>
      <c r="G8" s="75"/>
      <c r="H8" s="76"/>
      <c r="I8" s="74"/>
      <c r="J8" s="76"/>
      <c r="K8" s="74"/>
      <c r="L8" s="74"/>
      <c r="M8" s="80" t="str">
        <f>+RESUMEN!I15</f>
        <v>EEPP#03</v>
      </c>
    </row>
    <row r="9" spans="1:13" ht="16">
      <c r="A9" s="53"/>
      <c r="B9" s="71" t="s">
        <v>26</v>
      </c>
      <c r="C9" s="72"/>
      <c r="D9" s="73"/>
      <c r="E9" s="241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18.512.369-3</v>
      </c>
      <c r="D10" s="84"/>
      <c r="E10" s="242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0"/>
      <c r="D11" s="84"/>
      <c r="E11" s="242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64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6"/>
    </row>
    <row r="13" spans="1:13" ht="16">
      <c r="A13" s="53"/>
      <c r="B13" s="89" t="s">
        <v>28</v>
      </c>
      <c r="C13" s="90"/>
      <c r="D13" s="90"/>
      <c r="E13" s="91">
        <f>G41</f>
        <v>1900000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3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4"/>
      <c r="F15" s="102"/>
      <c r="G15" s="103" t="s">
        <v>30</v>
      </c>
      <c r="H15" s="367" t="s">
        <v>31</v>
      </c>
      <c r="I15" s="368"/>
      <c r="J15" s="369" t="s">
        <v>32</v>
      </c>
      <c r="K15" s="370"/>
      <c r="L15" s="373" t="s">
        <v>33</v>
      </c>
      <c r="M15" s="374"/>
    </row>
    <row r="16" spans="1:13">
      <c r="A16" s="53"/>
      <c r="B16" s="104" t="s">
        <v>34</v>
      </c>
      <c r="C16" s="375" t="s">
        <v>35</v>
      </c>
      <c r="D16" s="376"/>
      <c r="E16" s="376"/>
      <c r="F16" s="377"/>
      <c r="G16" s="105" t="s">
        <v>16</v>
      </c>
      <c r="H16" s="378" t="s">
        <v>36</v>
      </c>
      <c r="I16" s="379"/>
      <c r="J16" s="371"/>
      <c r="K16" s="372"/>
      <c r="L16" s="380" t="s">
        <v>37</v>
      </c>
      <c r="M16" s="381"/>
    </row>
    <row r="17" spans="1:15">
      <c r="A17" s="53"/>
      <c r="B17" s="106"/>
      <c r="C17" s="107"/>
      <c r="D17" s="256"/>
      <c r="E17" s="257"/>
      <c r="F17" s="258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182"/>
      <c r="C18" s="279" t="s">
        <v>83</v>
      </c>
      <c r="D18" s="280" t="s">
        <v>40</v>
      </c>
      <c r="E18" s="281" t="s">
        <v>41</v>
      </c>
      <c r="F18" s="282" t="s">
        <v>42</v>
      </c>
      <c r="G18" s="255"/>
      <c r="H18" s="179"/>
      <c r="I18" s="110"/>
      <c r="J18" s="111"/>
      <c r="K18" s="110"/>
      <c r="L18" s="111"/>
      <c r="M18" s="112"/>
    </row>
    <row r="19" spans="1:15">
      <c r="A19" s="53"/>
      <c r="B19" s="270">
        <v>1</v>
      </c>
      <c r="C19" s="271" t="s">
        <v>82</v>
      </c>
      <c r="D19" s="319" t="s">
        <v>67</v>
      </c>
      <c r="E19" s="265">
        <v>3</v>
      </c>
      <c r="F19" s="320">
        <v>230000</v>
      </c>
      <c r="G19" s="274">
        <f t="shared" ref="G19" si="0">+F19*E19</f>
        <v>690000</v>
      </c>
      <c r="H19" s="275">
        <v>1</v>
      </c>
      <c r="I19" s="276">
        <f>H19*G19</f>
        <v>690000</v>
      </c>
      <c r="J19" s="275">
        <v>1</v>
      </c>
      <c r="K19" s="276">
        <f>J19*G19</f>
        <v>690000</v>
      </c>
      <c r="L19" s="277">
        <f>H19-J19</f>
        <v>0</v>
      </c>
      <c r="M19" s="278">
        <f>L19*G19</f>
        <v>0</v>
      </c>
      <c r="O19" s="193"/>
    </row>
    <row r="20" spans="1:15">
      <c r="A20" s="53"/>
      <c r="B20" s="270"/>
      <c r="C20" s="271"/>
      <c r="D20" s="319"/>
      <c r="E20" s="265"/>
      <c r="F20" s="320"/>
      <c r="G20" s="274"/>
      <c r="H20" s="275"/>
      <c r="I20" s="276"/>
      <c r="J20" s="275"/>
      <c r="K20" s="276"/>
      <c r="L20" s="277"/>
      <c r="M20" s="278"/>
      <c r="O20" s="193"/>
    </row>
    <row r="21" spans="1:15">
      <c r="A21" s="53"/>
      <c r="B21" s="270"/>
      <c r="C21" s="279" t="s">
        <v>84</v>
      </c>
      <c r="D21" s="264"/>
      <c r="E21" s="265"/>
      <c r="F21" s="182"/>
      <c r="G21" s="274"/>
      <c r="H21" s="275"/>
      <c r="I21" s="276"/>
      <c r="J21" s="275"/>
      <c r="K21" s="276"/>
      <c r="L21" s="277"/>
      <c r="M21" s="278"/>
      <c r="O21" s="193"/>
    </row>
    <row r="22" spans="1:15" ht="20.25" customHeight="1">
      <c r="A22" s="53"/>
      <c r="B22" s="270"/>
      <c r="C22" s="321" t="s">
        <v>80</v>
      </c>
      <c r="D22" s="319" t="s">
        <v>67</v>
      </c>
      <c r="E22" s="265">
        <v>2</v>
      </c>
      <c r="F22" s="320">
        <v>110000</v>
      </c>
      <c r="G22" s="274">
        <f t="shared" ref="G22" si="1">+F22*E22</f>
        <v>220000</v>
      </c>
      <c r="H22" s="275">
        <v>1</v>
      </c>
      <c r="I22" s="276">
        <f>H22*G22</f>
        <v>220000</v>
      </c>
      <c r="J22" s="275">
        <v>1</v>
      </c>
      <c r="K22" s="276">
        <f>J22*G22</f>
        <v>220000</v>
      </c>
      <c r="L22" s="277">
        <f>H22-J22</f>
        <v>0</v>
      </c>
      <c r="M22" s="278">
        <f>L22*G22</f>
        <v>0</v>
      </c>
      <c r="O22" s="193"/>
    </row>
    <row r="23" spans="1:15" ht="20.25" customHeight="1">
      <c r="A23" s="53"/>
      <c r="B23" s="270"/>
      <c r="C23" s="321" t="s">
        <v>81</v>
      </c>
      <c r="D23" s="319" t="s">
        <v>67</v>
      </c>
      <c r="E23" s="265">
        <v>2</v>
      </c>
      <c r="F23" s="320">
        <v>110000</v>
      </c>
      <c r="G23" s="274">
        <f t="shared" ref="G23" si="2">+F23*E23</f>
        <v>220000</v>
      </c>
      <c r="H23" s="275">
        <v>1</v>
      </c>
      <c r="I23" s="276">
        <f>H23*G23</f>
        <v>220000</v>
      </c>
      <c r="J23" s="275">
        <v>1</v>
      </c>
      <c r="K23" s="276">
        <f>J23*G23</f>
        <v>220000</v>
      </c>
      <c r="L23" s="277">
        <f>H23-J23</f>
        <v>0</v>
      </c>
      <c r="M23" s="278">
        <f>L23*G23</f>
        <v>0</v>
      </c>
      <c r="O23" s="193"/>
    </row>
    <row r="24" spans="1:15">
      <c r="A24" s="53"/>
      <c r="B24" s="270"/>
      <c r="C24" s="253"/>
      <c r="D24" s="264"/>
      <c r="E24" s="265"/>
      <c r="F24" s="182"/>
      <c r="G24" s="274"/>
      <c r="H24" s="275"/>
      <c r="I24" s="276"/>
      <c r="J24" s="275"/>
      <c r="K24" s="276"/>
      <c r="L24" s="277"/>
      <c r="M24" s="278"/>
      <c r="O24" s="193"/>
    </row>
    <row r="25" spans="1:15" ht="14.25" customHeight="1">
      <c r="A25" s="53"/>
      <c r="B25" s="266"/>
      <c r="C25" s="279" t="s">
        <v>85</v>
      </c>
      <c r="D25" s="264"/>
      <c r="E25" s="265"/>
      <c r="F25" s="182"/>
      <c r="G25" s="274"/>
      <c r="H25" s="275"/>
      <c r="I25" s="276"/>
      <c r="J25" s="275"/>
      <c r="K25" s="276"/>
      <c r="L25" s="277"/>
      <c r="M25" s="278"/>
      <c r="O25" s="193"/>
    </row>
    <row r="26" spans="1:15">
      <c r="A26" s="53"/>
      <c r="B26" s="266"/>
      <c r="C26" s="321" t="s">
        <v>86</v>
      </c>
      <c r="D26" s="319" t="s">
        <v>67</v>
      </c>
      <c r="E26" s="265">
        <v>1</v>
      </c>
      <c r="F26" s="320">
        <v>200000</v>
      </c>
      <c r="G26" s="274">
        <f t="shared" ref="G26" si="3">+F26*E26</f>
        <v>200000</v>
      </c>
      <c r="H26" s="275">
        <v>1</v>
      </c>
      <c r="I26" s="276">
        <f>H26*G26</f>
        <v>200000</v>
      </c>
      <c r="J26" s="275">
        <v>1</v>
      </c>
      <c r="K26" s="276">
        <f>J26*G26</f>
        <v>200000</v>
      </c>
      <c r="L26" s="277">
        <f>H26-J26</f>
        <v>0</v>
      </c>
      <c r="M26" s="278">
        <f>L26*G26</f>
        <v>0</v>
      </c>
      <c r="O26" s="193"/>
    </row>
    <row r="27" spans="1:15">
      <c r="A27" s="53"/>
      <c r="B27" s="266"/>
      <c r="C27" s="253" t="s">
        <v>87</v>
      </c>
      <c r="D27" s="319" t="s">
        <v>67</v>
      </c>
      <c r="E27" s="265">
        <v>6</v>
      </c>
      <c r="F27" s="320">
        <v>15000</v>
      </c>
      <c r="G27" s="274">
        <f t="shared" ref="G27:G28" si="4">+F27*E27</f>
        <v>90000</v>
      </c>
      <c r="H27" s="275">
        <v>1</v>
      </c>
      <c r="I27" s="276">
        <f t="shared" ref="I27:I28" si="5">H27*G27</f>
        <v>90000</v>
      </c>
      <c r="J27" s="275">
        <v>1</v>
      </c>
      <c r="K27" s="276">
        <f t="shared" ref="K27:K28" si="6">J27*G27</f>
        <v>90000</v>
      </c>
      <c r="L27" s="277">
        <f t="shared" ref="L27:L28" si="7">H27-J27</f>
        <v>0</v>
      </c>
      <c r="M27" s="278">
        <f t="shared" ref="M27:M28" si="8">L27*G27</f>
        <v>0</v>
      </c>
      <c r="O27" s="193"/>
    </row>
    <row r="28" spans="1:15">
      <c r="A28" s="53"/>
      <c r="B28" s="266"/>
      <c r="C28" s="253" t="s">
        <v>88</v>
      </c>
      <c r="D28" s="319" t="s">
        <v>67</v>
      </c>
      <c r="E28" s="265">
        <v>2</v>
      </c>
      <c r="F28" s="320">
        <v>15000</v>
      </c>
      <c r="G28" s="274">
        <f t="shared" si="4"/>
        <v>30000</v>
      </c>
      <c r="H28" s="275">
        <v>1</v>
      </c>
      <c r="I28" s="276">
        <f t="shared" si="5"/>
        <v>30000</v>
      </c>
      <c r="J28" s="275">
        <v>1</v>
      </c>
      <c r="K28" s="276">
        <f t="shared" si="6"/>
        <v>30000</v>
      </c>
      <c r="L28" s="277">
        <f t="shared" si="7"/>
        <v>0</v>
      </c>
      <c r="M28" s="278">
        <f t="shared" si="8"/>
        <v>0</v>
      </c>
      <c r="O28" s="193"/>
    </row>
    <row r="29" spans="1:15">
      <c r="A29" s="53"/>
      <c r="B29" s="266"/>
      <c r="C29" s="253"/>
      <c r="D29" s="264"/>
      <c r="E29" s="265"/>
      <c r="F29" s="182"/>
      <c r="G29" s="274"/>
      <c r="H29" s="275"/>
      <c r="I29" s="276"/>
      <c r="J29" s="275"/>
      <c r="K29" s="276"/>
      <c r="L29" s="277"/>
      <c r="M29" s="278"/>
      <c r="O29" s="193"/>
    </row>
    <row r="30" spans="1:15">
      <c r="A30" s="53"/>
      <c r="B30" s="266"/>
      <c r="C30" s="279" t="s">
        <v>90</v>
      </c>
      <c r="D30" s="264"/>
      <c r="E30" s="265"/>
      <c r="F30" s="182"/>
      <c r="G30" s="274"/>
      <c r="H30" s="275"/>
      <c r="I30" s="276"/>
      <c r="J30" s="275"/>
      <c r="K30" s="276"/>
      <c r="L30" s="277"/>
      <c r="M30" s="278"/>
      <c r="O30" s="193"/>
    </row>
    <row r="31" spans="1:15">
      <c r="A31" s="53"/>
      <c r="B31" s="266"/>
      <c r="C31" s="253" t="s">
        <v>91</v>
      </c>
      <c r="D31" s="264" t="s">
        <v>92</v>
      </c>
      <c r="E31" s="265">
        <v>1</v>
      </c>
      <c r="F31" s="182">
        <v>450000</v>
      </c>
      <c r="G31" s="274">
        <f t="shared" ref="G31" si="9">+F31*E31</f>
        <v>450000</v>
      </c>
      <c r="H31" s="275">
        <v>1</v>
      </c>
      <c r="I31" s="276">
        <f t="shared" ref="I31" si="10">H31*G31</f>
        <v>450000</v>
      </c>
      <c r="J31" s="275">
        <v>0</v>
      </c>
      <c r="K31" s="276">
        <f t="shared" ref="K31" si="11">J31*G31</f>
        <v>0</v>
      </c>
      <c r="L31" s="277">
        <f t="shared" ref="L31" si="12">H31-J31</f>
        <v>1</v>
      </c>
      <c r="M31" s="278">
        <f t="shared" ref="M31" si="13">L31*G31</f>
        <v>450000</v>
      </c>
      <c r="O31" s="193"/>
    </row>
    <row r="32" spans="1:15">
      <c r="A32" s="53"/>
      <c r="B32" s="266"/>
      <c r="C32" s="253"/>
      <c r="D32" s="264"/>
      <c r="E32" s="265"/>
      <c r="F32" s="182"/>
      <c r="G32" s="274"/>
      <c r="H32" s="275"/>
      <c r="I32" s="276"/>
      <c r="J32" s="275"/>
      <c r="K32" s="276"/>
      <c r="L32" s="277"/>
      <c r="M32" s="278"/>
      <c r="O32" s="193"/>
    </row>
    <row r="33" spans="1:15">
      <c r="A33" s="53"/>
      <c r="B33" s="266"/>
      <c r="C33" s="253"/>
      <c r="D33" s="264"/>
      <c r="E33" s="265"/>
      <c r="F33" s="182"/>
      <c r="G33" s="274"/>
      <c r="H33" s="275"/>
      <c r="I33" s="276"/>
      <c r="J33" s="275"/>
      <c r="K33" s="276"/>
      <c r="L33" s="277"/>
      <c r="M33" s="278"/>
      <c r="O33" s="193"/>
    </row>
    <row r="34" spans="1:15">
      <c r="A34" s="53"/>
      <c r="B34" s="266"/>
      <c r="C34" s="253"/>
      <c r="D34" s="264"/>
      <c r="E34" s="265"/>
      <c r="F34" s="182"/>
      <c r="G34" s="274"/>
      <c r="H34" s="275"/>
      <c r="I34" s="276"/>
      <c r="J34" s="275"/>
      <c r="K34" s="276"/>
      <c r="L34" s="277"/>
      <c r="M34" s="278"/>
      <c r="O34" s="193"/>
    </row>
    <row r="35" spans="1:15">
      <c r="A35" s="53"/>
      <c r="B35" s="266"/>
      <c r="C35" s="253"/>
      <c r="D35" s="264"/>
      <c r="E35" s="265"/>
      <c r="F35" s="182"/>
      <c r="G35" s="274"/>
      <c r="H35" s="275"/>
      <c r="I35" s="276"/>
      <c r="J35" s="275"/>
      <c r="K35" s="276"/>
      <c r="L35" s="277"/>
      <c r="M35" s="278"/>
      <c r="O35" s="193"/>
    </row>
    <row r="36" spans="1:15">
      <c r="A36" s="53"/>
      <c r="B36" s="266"/>
      <c r="C36" s="253"/>
      <c r="D36" s="264"/>
      <c r="E36" s="265"/>
      <c r="F36" s="182"/>
      <c r="G36" s="274"/>
      <c r="H36" s="275"/>
      <c r="I36" s="276"/>
      <c r="J36" s="275"/>
      <c r="K36" s="276"/>
      <c r="L36" s="277"/>
      <c r="M36" s="278"/>
      <c r="O36" s="193"/>
    </row>
    <row r="37" spans="1:15">
      <c r="A37" s="53"/>
      <c r="B37" s="266"/>
      <c r="C37" s="253"/>
      <c r="D37" s="264"/>
      <c r="E37" s="265"/>
      <c r="F37" s="182"/>
      <c r="G37" s="254"/>
      <c r="H37" s="275"/>
      <c r="I37" s="276"/>
      <c r="J37" s="275"/>
      <c r="K37" s="276"/>
      <c r="L37" s="277"/>
      <c r="M37" s="278"/>
      <c r="O37" s="193"/>
    </row>
    <row r="38" spans="1:15">
      <c r="A38" s="53"/>
      <c r="B38" s="266"/>
      <c r="C38" s="283"/>
      <c r="D38" s="264"/>
      <c r="E38" s="284"/>
      <c r="F38" s="285"/>
      <c r="G38" s="286"/>
      <c r="H38" s="275"/>
      <c r="I38" s="276"/>
      <c r="J38" s="275"/>
      <c r="K38" s="276"/>
      <c r="L38" s="277"/>
      <c r="M38" s="278"/>
      <c r="O38" s="193"/>
    </row>
    <row r="39" spans="1:15">
      <c r="A39" s="53"/>
      <c r="B39" s="266"/>
      <c r="C39" s="253"/>
      <c r="D39" s="264"/>
      <c r="E39" s="265"/>
      <c r="F39" s="182"/>
      <c r="G39" s="254"/>
      <c r="H39" s="180"/>
      <c r="I39" s="114"/>
      <c r="J39" s="180"/>
      <c r="K39" s="114"/>
      <c r="L39" s="113"/>
      <c r="M39" s="115"/>
      <c r="O39" s="193"/>
    </row>
    <row r="40" spans="1:15">
      <c r="A40" s="53"/>
      <c r="B40" s="182"/>
      <c r="C40" s="253"/>
      <c r="D40" s="267"/>
      <c r="E40" s="263"/>
      <c r="F40" s="261"/>
      <c r="G40" s="254"/>
      <c r="H40" s="180"/>
      <c r="I40" s="114"/>
      <c r="J40" s="180"/>
      <c r="K40" s="114"/>
      <c r="L40" s="113"/>
      <c r="M40" s="115"/>
      <c r="O40" s="193"/>
    </row>
    <row r="41" spans="1:15">
      <c r="A41" s="53"/>
      <c r="B41" s="117"/>
      <c r="C41" s="118" t="s">
        <v>43</v>
      </c>
      <c r="D41" s="77"/>
      <c r="E41" s="257"/>
      <c r="F41" s="259"/>
      <c r="G41" s="234">
        <f>SUM(G18:G40)</f>
        <v>1900000</v>
      </c>
      <c r="H41" s="121"/>
      <c r="I41" s="120">
        <f>SUM(I18:I40)</f>
        <v>1900000</v>
      </c>
      <c r="J41" s="122"/>
      <c r="K41" s="120">
        <f>SUM(K18:K40)</f>
        <v>1450000</v>
      </c>
      <c r="L41" s="123"/>
      <c r="M41" s="124">
        <f>SUM(M18:M40)</f>
        <v>450000</v>
      </c>
    </row>
    <row r="42" spans="1:15">
      <c r="A42" s="53"/>
      <c r="B42" s="201"/>
      <c r="C42" s="202" t="s">
        <v>44</v>
      </c>
      <c r="D42" s="203"/>
      <c r="E42" s="246"/>
      <c r="F42" s="204"/>
      <c r="G42" s="205"/>
      <c r="H42" s="206"/>
      <c r="I42" s="207">
        <f>I41*F42</f>
        <v>0</v>
      </c>
      <c r="J42" s="208"/>
      <c r="K42" s="207">
        <f>K41*F42</f>
        <v>0</v>
      </c>
      <c r="L42" s="209"/>
      <c r="M42" s="210">
        <f>M41*F42</f>
        <v>0</v>
      </c>
      <c r="O42" s="193"/>
    </row>
    <row r="43" spans="1:15">
      <c r="A43" s="53"/>
      <c r="B43" s="222"/>
      <c r="C43" s="223" t="s">
        <v>56</v>
      </c>
      <c r="D43" s="224"/>
      <c r="E43" s="247"/>
      <c r="F43" s="225"/>
      <c r="G43" s="226">
        <v>0</v>
      </c>
      <c r="H43" s="227">
        <v>0</v>
      </c>
      <c r="I43" s="114">
        <f>H43*G43</f>
        <v>0</v>
      </c>
      <c r="J43" s="113">
        <v>0</v>
      </c>
      <c r="K43" s="114">
        <f>G43*J43</f>
        <v>0</v>
      </c>
      <c r="L43" s="113">
        <f>H43-J43</f>
        <v>0</v>
      </c>
      <c r="M43" s="115">
        <f>L43*G43</f>
        <v>0</v>
      </c>
    </row>
    <row r="44" spans="1:15">
      <c r="A44" s="126"/>
      <c r="B44" s="127"/>
      <c r="C44" s="128" t="s">
        <v>45</v>
      </c>
      <c r="D44" s="129"/>
      <c r="E44" s="248"/>
      <c r="F44" s="130"/>
      <c r="G44" s="131">
        <f>G41-G42+G43</f>
        <v>1900000</v>
      </c>
      <c r="H44" s="4" t="s">
        <v>46</v>
      </c>
      <c r="I44" s="134">
        <f>+I41-I42</f>
        <v>1900000</v>
      </c>
      <c r="J44" s="132"/>
      <c r="K44" s="134">
        <f>+K41-K42</f>
        <v>1450000</v>
      </c>
      <c r="L44" s="133"/>
      <c r="M44" s="134">
        <f>+M41-M42</f>
        <v>450000</v>
      </c>
    </row>
    <row r="45" spans="1:15">
      <c r="A45" s="53"/>
      <c r="B45" s="117"/>
      <c r="C45" s="118" t="s">
        <v>47</v>
      </c>
      <c r="D45" s="55"/>
      <c r="E45" s="244"/>
      <c r="F45" s="119"/>
      <c r="G45" s="120">
        <f>G44*19%</f>
        <v>361000</v>
      </c>
      <c r="H45" s="121"/>
      <c r="I45" s="120">
        <f>I44*19%</f>
        <v>361000</v>
      </c>
      <c r="J45" s="122"/>
      <c r="K45" s="120">
        <f>K44*19%</f>
        <v>275500</v>
      </c>
      <c r="L45" s="123"/>
      <c r="M45" s="120">
        <f>+M44*0.19</f>
        <v>85500</v>
      </c>
      <c r="O45" s="193"/>
    </row>
    <row r="46" spans="1:15">
      <c r="A46" s="53"/>
      <c r="B46" s="125"/>
      <c r="C46" s="135" t="s">
        <v>48</v>
      </c>
      <c r="D46" s="60"/>
      <c r="E46" s="245"/>
      <c r="F46" s="116"/>
      <c r="G46" s="136">
        <f>SUM(G44:G45)</f>
        <v>2261000</v>
      </c>
      <c r="H46" s="137"/>
      <c r="I46" s="136">
        <f>SUM(I44:I45)</f>
        <v>2261000</v>
      </c>
      <c r="J46" s="138"/>
      <c r="K46" s="136">
        <f>SUM(K44:K45)</f>
        <v>1725500</v>
      </c>
      <c r="L46" s="139"/>
      <c r="M46" s="136">
        <f>SUM(M44:M45)</f>
        <v>535500</v>
      </c>
    </row>
    <row r="47" spans="1:15">
      <c r="A47" s="53"/>
      <c r="B47" s="117"/>
      <c r="C47" s="67"/>
      <c r="D47" s="67"/>
      <c r="E47" s="249"/>
      <c r="F47" s="140"/>
      <c r="G47" s="68"/>
      <c r="H47" s="141"/>
      <c r="I47" s="142"/>
      <c r="J47" s="143"/>
      <c r="K47" s="142"/>
      <c r="L47" s="144"/>
      <c r="M47" s="145"/>
      <c r="O47" s="193"/>
    </row>
    <row r="48" spans="1:15">
      <c r="A48" s="53"/>
      <c r="B48" s="146"/>
      <c r="C48" s="147"/>
      <c r="D48" s="147"/>
      <c r="E48" s="229"/>
      <c r="F48" s="148"/>
      <c r="G48" s="149"/>
      <c r="H48" s="150"/>
      <c r="I48" s="151"/>
      <c r="J48" s="152"/>
      <c r="K48" s="151"/>
      <c r="L48" s="153"/>
      <c r="M48" s="154"/>
    </row>
    <row r="49" spans="1:13">
      <c r="A49" s="53"/>
      <c r="B49" s="146"/>
      <c r="C49" s="147"/>
      <c r="D49" s="147"/>
      <c r="E49" s="229"/>
      <c r="F49" s="148"/>
      <c r="G49" s="149"/>
      <c r="H49" s="150"/>
      <c r="I49" s="151"/>
      <c r="J49" s="152"/>
      <c r="K49" s="151"/>
      <c r="L49" s="153"/>
      <c r="M49" s="154"/>
    </row>
    <row r="50" spans="1:13">
      <c r="A50" s="53"/>
      <c r="B50" s="155"/>
      <c r="C50" s="147"/>
      <c r="D50" s="147"/>
      <c r="E50" s="229"/>
      <c r="F50" s="147"/>
      <c r="G50" s="147"/>
      <c r="H50" s="156"/>
      <c r="I50" s="157"/>
      <c r="J50" s="158"/>
      <c r="K50" s="159"/>
      <c r="L50" s="158"/>
      <c r="M50" s="160"/>
    </row>
    <row r="51" spans="1:13">
      <c r="A51" s="53"/>
      <c r="B51" s="161"/>
      <c r="C51" s="77"/>
      <c r="D51" s="77"/>
      <c r="E51" s="250"/>
      <c r="F51" s="77"/>
      <c r="G51" s="162"/>
      <c r="H51" s="78"/>
      <c r="I51" s="77"/>
      <c r="J51" s="78"/>
      <c r="K51" s="77"/>
      <c r="L51" s="77"/>
      <c r="M51" s="163"/>
    </row>
    <row r="52" spans="1:13">
      <c r="A52" s="53"/>
      <c r="B52" s="155"/>
      <c r="C52" s="349"/>
      <c r="D52" s="350"/>
      <c r="E52" s="350"/>
      <c r="F52" s="351"/>
      <c r="G52" s="352"/>
      <c r="H52" s="353"/>
      <c r="I52" s="353"/>
      <c r="J52" s="354"/>
      <c r="K52" s="77"/>
      <c r="L52" s="77"/>
      <c r="M52" s="163"/>
    </row>
    <row r="53" spans="1:13">
      <c r="A53" s="53"/>
      <c r="B53" s="59"/>
      <c r="C53" s="60"/>
      <c r="D53" s="60"/>
      <c r="E53" s="238"/>
      <c r="F53" s="60"/>
      <c r="G53" s="61"/>
      <c r="H53" s="62"/>
      <c r="I53" s="60"/>
      <c r="J53" s="62"/>
      <c r="K53" s="60"/>
      <c r="L53" s="60"/>
      <c r="M53" s="164"/>
    </row>
    <row r="54" spans="1:13">
      <c r="A54" s="53"/>
      <c r="B54" s="165"/>
      <c r="C54" s="355"/>
      <c r="D54" s="356"/>
      <c r="E54" s="356"/>
      <c r="F54" s="356"/>
      <c r="G54" s="357"/>
      <c r="H54" s="358" t="s">
        <v>49</v>
      </c>
      <c r="I54" s="359"/>
      <c r="J54" s="359"/>
      <c r="K54" s="359"/>
      <c r="L54" s="359"/>
      <c r="M54" s="360"/>
    </row>
    <row r="55" spans="1:13">
      <c r="A55" s="53"/>
      <c r="B55" s="161"/>
      <c r="C55" s="77"/>
      <c r="D55" s="77"/>
      <c r="E55" s="250"/>
      <c r="F55" s="77"/>
      <c r="G55" s="162"/>
      <c r="H55" s="78"/>
      <c r="I55" s="77"/>
      <c r="J55" s="78"/>
      <c r="K55" s="77"/>
      <c r="L55" s="77"/>
      <c r="M55" s="163"/>
    </row>
    <row r="56" spans="1:13" ht="16" thickBot="1">
      <c r="A56" s="53"/>
      <c r="B56" s="166"/>
      <c r="C56" s="167"/>
      <c r="D56" s="167"/>
      <c r="E56" s="251"/>
      <c r="F56" s="167"/>
      <c r="G56" s="168"/>
      <c r="H56" s="169"/>
      <c r="I56" s="167"/>
      <c r="J56" s="169"/>
      <c r="K56" s="167"/>
      <c r="L56" s="167"/>
      <c r="M56" s="170"/>
    </row>
    <row r="58" spans="1:13">
      <c r="G58" s="228"/>
    </row>
  </sheetData>
  <mergeCells count="12">
    <mergeCell ref="C52:F52"/>
    <mergeCell ref="G52:J52"/>
    <mergeCell ref="C54:G54"/>
    <mergeCell ref="H54:M54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2099-0412-41FD-8CC8-F276B4836866}">
  <sheetPr>
    <tabColor theme="0" tint="-0.499984740745262"/>
    <pageSetUpPr fitToPage="1"/>
  </sheetPr>
  <dimension ref="A1:O60"/>
  <sheetViews>
    <sheetView zoomScale="70" zoomScaleNormal="70" zoomScalePageLayoutView="70" workbookViewId="0">
      <selection activeCell="C25" sqref="C25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2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5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6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61" t="s">
        <v>50</v>
      </c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3"/>
    </row>
    <row r="4" spans="1:13">
      <c r="A4" s="53"/>
      <c r="B4" s="54"/>
      <c r="C4" s="55"/>
      <c r="D4" s="55"/>
      <c r="E4" s="237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8"/>
      <c r="F5" s="60"/>
      <c r="G5" s="61"/>
      <c r="H5" s="62"/>
      <c r="I5" s="60"/>
      <c r="J5" s="62"/>
      <c r="K5" s="60"/>
      <c r="L5" s="60"/>
      <c r="M5" s="63" t="e">
        <f>+RESUMEN!#REF!</f>
        <v>#REF!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39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0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e">
        <f>+RESUMEN!#REF!</f>
        <v>#REF!</v>
      </c>
      <c r="D8" s="73"/>
      <c r="E8" s="240"/>
      <c r="F8" s="74"/>
      <c r="G8" s="75"/>
      <c r="H8" s="76"/>
      <c r="I8" s="74"/>
      <c r="J8" s="76"/>
      <c r="K8" s="74"/>
      <c r="L8" s="74"/>
      <c r="M8" s="80" t="str">
        <f>+RESUMEN!I15</f>
        <v>EEPP#03</v>
      </c>
    </row>
    <row r="9" spans="1:13" ht="16">
      <c r="A9" s="53"/>
      <c r="B9" s="71" t="s">
        <v>26</v>
      </c>
      <c r="C9" s="72"/>
      <c r="D9" s="73"/>
      <c r="E9" s="241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e">
        <f>+RESUMEN!#REF!</f>
        <v>#REF!</v>
      </c>
      <c r="D10" s="84"/>
      <c r="E10" s="242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0"/>
      <c r="D11" s="84"/>
      <c r="E11" s="242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64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6"/>
    </row>
    <row r="13" spans="1:13" ht="16">
      <c r="A13" s="53"/>
      <c r="B13" s="89" t="s">
        <v>28</v>
      </c>
      <c r="C13" s="90"/>
      <c r="D13" s="90"/>
      <c r="E13" s="91">
        <f>G43</f>
        <v>34680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3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4"/>
      <c r="F15" s="102"/>
      <c r="G15" s="103" t="s">
        <v>30</v>
      </c>
      <c r="H15" s="367" t="s">
        <v>31</v>
      </c>
      <c r="I15" s="368"/>
      <c r="J15" s="369" t="s">
        <v>32</v>
      </c>
      <c r="K15" s="370"/>
      <c r="L15" s="373" t="s">
        <v>33</v>
      </c>
      <c r="M15" s="374"/>
    </row>
    <row r="16" spans="1:13">
      <c r="A16" s="53"/>
      <c r="B16" s="104" t="s">
        <v>34</v>
      </c>
      <c r="C16" s="375" t="s">
        <v>35</v>
      </c>
      <c r="D16" s="376"/>
      <c r="E16" s="376"/>
      <c r="F16" s="377"/>
      <c r="G16" s="105" t="s">
        <v>16</v>
      </c>
      <c r="H16" s="378" t="s">
        <v>36</v>
      </c>
      <c r="I16" s="379"/>
      <c r="J16" s="371"/>
      <c r="K16" s="372"/>
      <c r="L16" s="380" t="s">
        <v>37</v>
      </c>
      <c r="M16" s="381"/>
    </row>
    <row r="17" spans="1:15">
      <c r="A17" s="53"/>
      <c r="B17" s="106"/>
      <c r="C17" s="288"/>
      <c r="D17" s="256"/>
      <c r="E17" s="257"/>
      <c r="F17" s="258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253"/>
      <c r="C18" s="318" t="s">
        <v>78</v>
      </c>
      <c r="D18" s="309" t="s">
        <v>40</v>
      </c>
      <c r="E18" s="281" t="s">
        <v>41</v>
      </c>
      <c r="F18" s="295" t="s">
        <v>42</v>
      </c>
      <c r="G18" s="296"/>
      <c r="H18" s="179"/>
      <c r="I18" s="110"/>
      <c r="J18" s="111"/>
      <c r="K18" s="110"/>
      <c r="L18" s="111"/>
      <c r="M18" s="112"/>
    </row>
    <row r="19" spans="1:15" ht="16">
      <c r="A19" s="53"/>
      <c r="B19" s="291">
        <v>1</v>
      </c>
      <c r="C19" s="307" t="s">
        <v>77</v>
      </c>
      <c r="D19" s="310" t="s">
        <v>67</v>
      </c>
      <c r="E19" s="315">
        <v>2</v>
      </c>
      <c r="F19" s="313">
        <v>17340</v>
      </c>
      <c r="G19" s="298">
        <f t="shared" ref="G19" si="0">+F19*E19</f>
        <v>34680</v>
      </c>
      <c r="H19" s="275">
        <v>1</v>
      </c>
      <c r="I19" s="276">
        <f t="shared" ref="I19" si="1">H19*G19</f>
        <v>34680</v>
      </c>
      <c r="J19" s="275">
        <v>1</v>
      </c>
      <c r="K19" s="276">
        <f t="shared" ref="K19" si="2">J19*G19</f>
        <v>34680</v>
      </c>
      <c r="L19" s="277">
        <f t="shared" ref="L19" si="3">H19-J19</f>
        <v>0</v>
      </c>
      <c r="M19" s="278">
        <f t="shared" ref="M19" si="4">L19*G19</f>
        <v>0</v>
      </c>
      <c r="O19" s="193"/>
    </row>
    <row r="20" spans="1:15">
      <c r="A20" s="53"/>
      <c r="B20" s="291"/>
      <c r="C20" s="308"/>
      <c r="D20" s="310"/>
      <c r="E20" s="315"/>
      <c r="F20" s="313"/>
      <c r="G20" s="298"/>
      <c r="H20" s="275"/>
      <c r="I20" s="276"/>
      <c r="J20" s="275"/>
      <c r="K20" s="276"/>
      <c r="L20" s="277"/>
      <c r="M20" s="278"/>
      <c r="O20" s="193"/>
    </row>
    <row r="21" spans="1:15">
      <c r="A21" s="53"/>
      <c r="B21" s="291"/>
      <c r="C21" s="307"/>
      <c r="D21" s="310"/>
      <c r="E21" s="315"/>
      <c r="F21" s="313"/>
      <c r="G21" s="298"/>
      <c r="H21" s="275"/>
      <c r="I21" s="276"/>
      <c r="J21" s="275"/>
      <c r="K21" s="276"/>
      <c r="L21" s="277"/>
      <c r="M21" s="278"/>
      <c r="O21" s="193"/>
    </row>
    <row r="22" spans="1:15">
      <c r="A22" s="53"/>
      <c r="B22" s="291"/>
      <c r="C22" s="307"/>
      <c r="D22" s="310"/>
      <c r="E22" s="315"/>
      <c r="F22" s="313"/>
      <c r="G22" s="298"/>
      <c r="H22" s="275"/>
      <c r="I22" s="276"/>
      <c r="J22" s="275"/>
      <c r="K22" s="276"/>
      <c r="L22" s="277"/>
      <c r="M22" s="278"/>
      <c r="O22" s="193"/>
    </row>
    <row r="23" spans="1:15">
      <c r="A23" s="53"/>
      <c r="B23" s="291"/>
      <c r="C23" s="307"/>
      <c r="D23" s="310"/>
      <c r="E23" s="316"/>
      <c r="F23" s="313"/>
      <c r="G23" s="298"/>
      <c r="H23" s="275"/>
      <c r="I23" s="276"/>
      <c r="J23" s="275"/>
      <c r="K23" s="276"/>
      <c r="L23" s="277"/>
      <c r="M23" s="278"/>
      <c r="O23" s="193"/>
    </row>
    <row r="24" spans="1:15" ht="28.5" customHeight="1">
      <c r="A24" s="53"/>
      <c r="B24" s="292"/>
      <c r="C24" s="305"/>
      <c r="D24" s="310"/>
      <c r="E24" s="312"/>
      <c r="F24" s="297"/>
      <c r="G24" s="298"/>
      <c r="H24" s="275"/>
      <c r="I24" s="276"/>
      <c r="J24" s="275"/>
      <c r="K24" s="276"/>
      <c r="L24" s="277"/>
      <c r="M24" s="278"/>
      <c r="O24" s="193"/>
    </row>
    <row r="25" spans="1:15">
      <c r="A25" s="53"/>
      <c r="B25" s="292"/>
      <c r="C25" s="306"/>
      <c r="D25" s="310"/>
      <c r="E25" s="312"/>
      <c r="F25" s="299"/>
      <c r="G25" s="298"/>
      <c r="H25" s="275"/>
      <c r="I25" s="276"/>
      <c r="J25" s="275"/>
      <c r="K25" s="276"/>
      <c r="L25" s="277"/>
      <c r="M25" s="278"/>
      <c r="O25" s="193"/>
    </row>
    <row r="26" spans="1:15">
      <c r="A26" s="53"/>
      <c r="B26" s="292"/>
      <c r="C26" s="305"/>
      <c r="D26" s="310"/>
      <c r="E26" s="312"/>
      <c r="F26" s="299"/>
      <c r="G26" s="298"/>
      <c r="H26" s="275"/>
      <c r="I26" s="276"/>
      <c r="J26" s="275"/>
      <c r="K26" s="276"/>
      <c r="L26" s="277"/>
      <c r="M26" s="278"/>
      <c r="O26" s="193"/>
    </row>
    <row r="27" spans="1:15">
      <c r="A27" s="53"/>
      <c r="B27" s="292"/>
      <c r="C27" s="305"/>
      <c r="D27" s="310"/>
      <c r="E27" s="312"/>
      <c r="F27" s="299"/>
      <c r="G27" s="298"/>
      <c r="H27" s="275"/>
      <c r="I27" s="276"/>
      <c r="J27" s="275"/>
      <c r="K27" s="276"/>
      <c r="L27" s="277"/>
      <c r="M27" s="278"/>
      <c r="O27" s="193"/>
    </row>
    <row r="28" spans="1:15">
      <c r="A28" s="53"/>
      <c r="B28" s="292"/>
      <c r="C28" s="305"/>
      <c r="D28" s="310"/>
      <c r="E28" s="312"/>
      <c r="F28" s="299"/>
      <c r="G28" s="298"/>
      <c r="H28" s="275"/>
      <c r="I28" s="276"/>
      <c r="J28" s="275"/>
      <c r="K28" s="276"/>
      <c r="L28" s="277"/>
      <c r="M28" s="278"/>
      <c r="O28" s="193"/>
    </row>
    <row r="29" spans="1:15">
      <c r="A29" s="53"/>
      <c r="B29" s="292"/>
      <c r="C29" s="305"/>
      <c r="D29" s="310"/>
      <c r="E29" s="312"/>
      <c r="F29" s="299"/>
      <c r="G29" s="298"/>
      <c r="H29" s="275"/>
      <c r="I29" s="276"/>
      <c r="J29" s="275"/>
      <c r="K29" s="276"/>
      <c r="L29" s="277"/>
      <c r="M29" s="278"/>
      <c r="O29" s="193"/>
    </row>
    <row r="30" spans="1:15">
      <c r="A30" s="53"/>
      <c r="B30" s="292"/>
      <c r="C30" s="305"/>
      <c r="D30" s="310"/>
      <c r="E30" s="312"/>
      <c r="F30" s="299"/>
      <c r="G30" s="298"/>
      <c r="H30" s="275"/>
      <c r="I30" s="276"/>
      <c r="J30" s="275"/>
      <c r="K30" s="276"/>
      <c r="L30" s="277"/>
      <c r="M30" s="278"/>
      <c r="O30" s="193"/>
    </row>
    <row r="31" spans="1:15">
      <c r="A31" s="53"/>
      <c r="B31" s="292"/>
      <c r="C31" s="300"/>
      <c r="D31" s="310"/>
      <c r="E31" s="265"/>
      <c r="F31" s="300"/>
      <c r="G31" s="298"/>
      <c r="H31" s="275"/>
      <c r="I31" s="276"/>
      <c r="J31" s="275"/>
      <c r="K31" s="276"/>
      <c r="L31" s="277"/>
      <c r="M31" s="278"/>
      <c r="O31" s="193"/>
    </row>
    <row r="32" spans="1:15">
      <c r="A32" s="53"/>
      <c r="B32" s="292"/>
      <c r="C32" s="302"/>
      <c r="D32" s="311"/>
      <c r="E32" s="284"/>
      <c r="F32" s="302"/>
      <c r="G32" s="304"/>
      <c r="H32" s="275"/>
      <c r="I32" s="276"/>
      <c r="J32" s="275"/>
      <c r="K32" s="276"/>
      <c r="L32" s="277"/>
      <c r="M32" s="278"/>
      <c r="O32" s="193"/>
    </row>
    <row r="33" spans="1:15">
      <c r="A33" s="53"/>
      <c r="B33" s="292"/>
      <c r="C33" s="302"/>
      <c r="D33" s="311"/>
      <c r="E33" s="284"/>
      <c r="F33" s="302"/>
      <c r="G33" s="304"/>
      <c r="H33" s="275"/>
      <c r="I33" s="276"/>
      <c r="J33" s="275"/>
      <c r="K33" s="276"/>
      <c r="L33" s="277"/>
      <c r="M33" s="278"/>
      <c r="O33" s="193"/>
    </row>
    <row r="34" spans="1:15">
      <c r="A34" s="53"/>
      <c r="B34" s="292"/>
      <c r="C34" s="300"/>
      <c r="D34" s="310"/>
      <c r="E34" s="265"/>
      <c r="F34" s="300"/>
      <c r="G34" s="298"/>
      <c r="H34" s="275"/>
      <c r="I34" s="276"/>
      <c r="J34" s="275"/>
      <c r="K34" s="276"/>
      <c r="L34" s="277"/>
      <c r="M34" s="278"/>
      <c r="O34" s="193"/>
    </row>
    <row r="35" spans="1:15">
      <c r="A35" s="53"/>
      <c r="B35" s="292"/>
      <c r="C35" s="300"/>
      <c r="D35" s="310"/>
      <c r="E35" s="265"/>
      <c r="F35" s="300"/>
      <c r="G35" s="298"/>
      <c r="H35" s="275"/>
      <c r="I35" s="276"/>
      <c r="J35" s="275"/>
      <c r="K35" s="276"/>
      <c r="L35" s="277"/>
      <c r="M35" s="278"/>
      <c r="O35" s="193"/>
    </row>
    <row r="36" spans="1:15">
      <c r="A36" s="53"/>
      <c r="B36" s="292"/>
      <c r="C36" s="300"/>
      <c r="D36" s="310"/>
      <c r="E36" s="265"/>
      <c r="F36" s="300"/>
      <c r="G36" s="298"/>
      <c r="H36" s="275"/>
      <c r="I36" s="276"/>
      <c r="J36" s="275"/>
      <c r="K36" s="276"/>
      <c r="L36" s="277"/>
      <c r="M36" s="278"/>
      <c r="O36" s="193"/>
    </row>
    <row r="37" spans="1:15">
      <c r="A37" s="53"/>
      <c r="B37" s="292"/>
      <c r="C37" s="300"/>
      <c r="D37" s="310"/>
      <c r="E37" s="265"/>
      <c r="F37" s="300"/>
      <c r="G37" s="298"/>
      <c r="H37" s="275"/>
      <c r="I37" s="276"/>
      <c r="J37" s="275"/>
      <c r="K37" s="276"/>
      <c r="L37" s="277"/>
      <c r="M37" s="278"/>
      <c r="O37" s="193"/>
    </row>
    <row r="38" spans="1:15">
      <c r="A38" s="53"/>
      <c r="B38" s="292"/>
      <c r="C38" s="300"/>
      <c r="D38" s="310"/>
      <c r="E38" s="265"/>
      <c r="F38" s="300"/>
      <c r="G38" s="298"/>
      <c r="H38" s="275"/>
      <c r="I38" s="276"/>
      <c r="J38" s="275"/>
      <c r="K38" s="276"/>
      <c r="L38" s="277"/>
      <c r="M38" s="278"/>
      <c r="O38" s="193"/>
    </row>
    <row r="39" spans="1:15">
      <c r="A39" s="53"/>
      <c r="B39" s="292"/>
      <c r="C39" s="300"/>
      <c r="D39" s="310"/>
      <c r="E39" s="265"/>
      <c r="F39" s="300"/>
      <c r="G39" s="301"/>
      <c r="H39" s="275"/>
      <c r="I39" s="276"/>
      <c r="J39" s="275"/>
      <c r="K39" s="276"/>
      <c r="L39" s="277"/>
      <c r="M39" s="278"/>
      <c r="O39" s="193"/>
    </row>
    <row r="40" spans="1:15">
      <c r="A40" s="53"/>
      <c r="B40" s="292"/>
      <c r="C40" s="302"/>
      <c r="D40" s="310"/>
      <c r="E40" s="284"/>
      <c r="F40" s="302"/>
      <c r="G40" s="303"/>
      <c r="H40" s="275"/>
      <c r="I40" s="276"/>
      <c r="J40" s="275"/>
      <c r="K40" s="276"/>
      <c r="L40" s="277"/>
      <c r="M40" s="278"/>
      <c r="O40" s="193"/>
    </row>
    <row r="41" spans="1:15">
      <c r="A41" s="53"/>
      <c r="B41" s="292"/>
      <c r="C41" s="182"/>
      <c r="D41" s="293"/>
      <c r="E41" s="265"/>
      <c r="F41" s="300"/>
      <c r="G41" s="254"/>
      <c r="H41" s="180"/>
      <c r="I41" s="114"/>
      <c r="J41" s="180"/>
      <c r="K41" s="114"/>
      <c r="L41" s="113"/>
      <c r="M41" s="115"/>
      <c r="O41" s="193"/>
    </row>
    <row r="42" spans="1:15">
      <c r="A42" s="53"/>
      <c r="B42" s="253"/>
      <c r="C42" s="261"/>
      <c r="D42" s="294"/>
      <c r="E42" s="263"/>
      <c r="F42" s="314"/>
      <c r="G42" s="290"/>
      <c r="H42" s="180"/>
      <c r="I42" s="114"/>
      <c r="J42" s="180"/>
      <c r="K42" s="114"/>
      <c r="L42" s="113"/>
      <c r="M42" s="115"/>
      <c r="O42" s="193"/>
    </row>
    <row r="43" spans="1:15">
      <c r="A43" s="53"/>
      <c r="B43" s="117"/>
      <c r="C43" s="289" t="s">
        <v>43</v>
      </c>
      <c r="D43" s="77"/>
      <c r="E43" s="257"/>
      <c r="F43" s="259"/>
      <c r="G43" s="114">
        <f>SUM(G18:G42)</f>
        <v>34680</v>
      </c>
      <c r="H43" s="121"/>
      <c r="I43" s="120">
        <f>SUM(I18:I42)</f>
        <v>34680</v>
      </c>
      <c r="J43" s="122"/>
      <c r="K43" s="120">
        <f>SUM(K18:K42)</f>
        <v>34680</v>
      </c>
      <c r="L43" s="123"/>
      <c r="M43" s="124">
        <f>SUM(M18:M42)</f>
        <v>0</v>
      </c>
    </row>
    <row r="44" spans="1:15">
      <c r="A44" s="53"/>
      <c r="B44" s="201"/>
      <c r="C44" s="202" t="s">
        <v>44</v>
      </c>
      <c r="D44" s="203"/>
      <c r="E44" s="246"/>
      <c r="F44" s="204"/>
      <c r="G44" s="205"/>
      <c r="H44" s="206"/>
      <c r="I44" s="207">
        <f>I43*F44</f>
        <v>0</v>
      </c>
      <c r="J44" s="208"/>
      <c r="K44" s="207">
        <f>K43*F44</f>
        <v>0</v>
      </c>
      <c r="L44" s="209"/>
      <c r="M44" s="210">
        <f>M43*F44</f>
        <v>0</v>
      </c>
      <c r="O44" s="193"/>
    </row>
    <row r="45" spans="1:15">
      <c r="A45" s="53"/>
      <c r="B45" s="222"/>
      <c r="C45" s="223" t="s">
        <v>56</v>
      </c>
      <c r="D45" s="224"/>
      <c r="E45" s="247"/>
      <c r="F45" s="225"/>
      <c r="G45" s="226">
        <v>0</v>
      </c>
      <c r="H45" s="227">
        <v>0</v>
      </c>
      <c r="I45" s="114">
        <f>H45*G45</f>
        <v>0</v>
      </c>
      <c r="J45" s="113">
        <v>0</v>
      </c>
      <c r="K45" s="114">
        <f>G45*J45</f>
        <v>0</v>
      </c>
      <c r="L45" s="113">
        <f>H45-J45</f>
        <v>0</v>
      </c>
      <c r="M45" s="115">
        <f>L45*G45</f>
        <v>0</v>
      </c>
    </row>
    <row r="46" spans="1:15">
      <c r="A46" s="126"/>
      <c r="B46" s="127"/>
      <c r="C46" s="128" t="s">
        <v>45</v>
      </c>
      <c r="D46" s="129"/>
      <c r="E46" s="248"/>
      <c r="F46" s="130"/>
      <c r="G46" s="131">
        <f>G43-G44+G45</f>
        <v>34680</v>
      </c>
      <c r="H46" s="4" t="s">
        <v>46</v>
      </c>
      <c r="I46" s="134">
        <f>+I43-I44</f>
        <v>34680</v>
      </c>
      <c r="J46" s="132"/>
      <c r="K46" s="134">
        <f>+K43-K44</f>
        <v>34680</v>
      </c>
      <c r="L46" s="133"/>
      <c r="M46" s="134">
        <f>+M43-M44</f>
        <v>0</v>
      </c>
    </row>
    <row r="47" spans="1:15">
      <c r="A47" s="53"/>
      <c r="B47" s="117"/>
      <c r="C47" s="118" t="s">
        <v>47</v>
      </c>
      <c r="D47" s="55"/>
      <c r="E47" s="244"/>
      <c r="F47" s="119"/>
      <c r="G47" s="120">
        <f>G46*19%</f>
        <v>6589.2</v>
      </c>
      <c r="H47" s="121"/>
      <c r="I47" s="120">
        <f>I46*19%</f>
        <v>6589.2</v>
      </c>
      <c r="J47" s="122"/>
      <c r="K47" s="120">
        <f>K46*19%</f>
        <v>6589.2</v>
      </c>
      <c r="L47" s="123"/>
      <c r="M47" s="120">
        <f>+M46*0.19</f>
        <v>0</v>
      </c>
      <c r="O47" s="193"/>
    </row>
    <row r="48" spans="1:15">
      <c r="A48" s="53"/>
      <c r="B48" s="125"/>
      <c r="C48" s="135" t="s">
        <v>48</v>
      </c>
      <c r="D48" s="60"/>
      <c r="E48" s="245"/>
      <c r="F48" s="116"/>
      <c r="G48" s="136">
        <f>SUM(G46:G47)</f>
        <v>41269.199999999997</v>
      </c>
      <c r="H48" s="137"/>
      <c r="I48" s="136">
        <f>SUM(I46:I47)</f>
        <v>41269.199999999997</v>
      </c>
      <c r="J48" s="138"/>
      <c r="K48" s="136">
        <f>SUM(K46:K47)</f>
        <v>41269.199999999997</v>
      </c>
      <c r="L48" s="139"/>
      <c r="M48" s="136">
        <f>SUM(M46:M47)</f>
        <v>0</v>
      </c>
    </row>
    <row r="49" spans="1:15">
      <c r="A49" s="53"/>
      <c r="B49" s="117"/>
      <c r="C49" s="67"/>
      <c r="D49" s="67"/>
      <c r="E49" s="249"/>
      <c r="F49" s="140"/>
      <c r="G49" s="68"/>
      <c r="H49" s="141"/>
      <c r="I49" s="142"/>
      <c r="J49" s="143"/>
      <c r="K49" s="142"/>
      <c r="L49" s="144"/>
      <c r="M49" s="145"/>
      <c r="O49" s="193"/>
    </row>
    <row r="50" spans="1:15">
      <c r="A50" s="53"/>
      <c r="B50" s="146"/>
      <c r="C50" s="147"/>
      <c r="D50" s="147"/>
      <c r="E50" s="229"/>
      <c r="F50" s="148"/>
      <c r="G50" s="149"/>
      <c r="H50" s="150"/>
      <c r="I50" s="151"/>
      <c r="J50" s="152"/>
      <c r="K50" s="151"/>
      <c r="L50" s="153"/>
      <c r="M50" s="154"/>
    </row>
    <row r="51" spans="1:15">
      <c r="A51" s="53"/>
      <c r="B51" s="146"/>
      <c r="C51" s="147"/>
      <c r="D51" s="147"/>
      <c r="E51" s="229"/>
      <c r="F51" s="148"/>
      <c r="G51" s="149"/>
      <c r="H51" s="150"/>
      <c r="I51" s="151"/>
      <c r="J51" s="152"/>
      <c r="K51" s="151"/>
      <c r="L51" s="153"/>
      <c r="M51" s="154"/>
    </row>
    <row r="52" spans="1:15">
      <c r="A52" s="53"/>
      <c r="B52" s="155"/>
      <c r="C52" s="147"/>
      <c r="D52" s="147"/>
      <c r="E52" s="229"/>
      <c r="F52" s="147"/>
      <c r="G52" s="147"/>
      <c r="H52" s="156"/>
      <c r="I52" s="157"/>
      <c r="J52" s="158"/>
      <c r="K52" s="159"/>
      <c r="L52" s="158"/>
      <c r="M52" s="160"/>
    </row>
    <row r="53" spans="1:15">
      <c r="A53" s="53"/>
      <c r="B53" s="161"/>
      <c r="C53" s="77"/>
      <c r="D53" s="77"/>
      <c r="E53" s="250"/>
      <c r="F53" s="77"/>
      <c r="G53" s="162"/>
      <c r="H53" s="78"/>
      <c r="I53" s="77"/>
      <c r="J53" s="78"/>
      <c r="K53" s="77"/>
      <c r="L53" s="77"/>
      <c r="M53" s="163"/>
    </row>
    <row r="54" spans="1:15">
      <c r="A54" s="53"/>
      <c r="B54" s="155"/>
      <c r="C54" s="349"/>
      <c r="D54" s="350"/>
      <c r="E54" s="350"/>
      <c r="F54" s="351"/>
      <c r="G54" s="352"/>
      <c r="H54" s="353"/>
      <c r="I54" s="353"/>
      <c r="J54" s="354"/>
      <c r="K54" s="77"/>
      <c r="L54" s="77"/>
      <c r="M54" s="163"/>
    </row>
    <row r="55" spans="1:15">
      <c r="A55" s="53"/>
      <c r="B55" s="59"/>
      <c r="C55" s="60"/>
      <c r="D55" s="60"/>
      <c r="E55" s="238"/>
      <c r="F55" s="60"/>
      <c r="G55" s="61"/>
      <c r="H55" s="62"/>
      <c r="I55" s="60"/>
      <c r="J55" s="62"/>
      <c r="K55" s="60"/>
      <c r="L55" s="60"/>
      <c r="M55" s="164"/>
    </row>
    <row r="56" spans="1:15">
      <c r="A56" s="53"/>
      <c r="B56" s="165"/>
      <c r="C56" s="355"/>
      <c r="D56" s="356"/>
      <c r="E56" s="356"/>
      <c r="F56" s="356"/>
      <c r="G56" s="357"/>
      <c r="H56" s="358" t="s">
        <v>49</v>
      </c>
      <c r="I56" s="359"/>
      <c r="J56" s="359"/>
      <c r="K56" s="359"/>
      <c r="L56" s="359"/>
      <c r="M56" s="360"/>
    </row>
    <row r="57" spans="1:15">
      <c r="A57" s="53"/>
      <c r="B57" s="161"/>
      <c r="C57" s="77"/>
      <c r="D57" s="77"/>
      <c r="E57" s="250"/>
      <c r="F57" s="77"/>
      <c r="G57" s="162"/>
      <c r="H57" s="78"/>
      <c r="I57" s="77"/>
      <c r="J57" s="78"/>
      <c r="K57" s="77"/>
      <c r="L57" s="77"/>
      <c r="M57" s="163"/>
    </row>
    <row r="58" spans="1:15" ht="16" thickBot="1">
      <c r="A58" s="53"/>
      <c r="B58" s="166"/>
      <c r="C58" s="167"/>
      <c r="D58" s="167"/>
      <c r="E58" s="251"/>
      <c r="F58" s="167"/>
      <c r="G58" s="168"/>
      <c r="H58" s="169"/>
      <c r="I58" s="167"/>
      <c r="J58" s="169"/>
      <c r="K58" s="167"/>
      <c r="L58" s="167"/>
      <c r="M58" s="170"/>
    </row>
    <row r="60" spans="1:15">
      <c r="G60" s="228"/>
    </row>
  </sheetData>
  <mergeCells count="12">
    <mergeCell ref="C54:F54"/>
    <mergeCell ref="G54:J54"/>
    <mergeCell ref="C56:G56"/>
    <mergeCell ref="H56:M56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1</vt:lpstr>
      <vt:lpstr>2</vt:lpstr>
      <vt:lpstr>3</vt:lpstr>
    </vt:vector>
  </TitlesOfParts>
  <Company>Genuine CORP @ 2010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jukkaP</dc:creator>
  <cp:lastModifiedBy>Microsoft Office User</cp:lastModifiedBy>
  <cp:lastPrinted>2023-05-15T13:39:50Z</cp:lastPrinted>
  <dcterms:created xsi:type="dcterms:W3CDTF">2017-02-08T11:58:40Z</dcterms:created>
  <dcterms:modified xsi:type="dcterms:W3CDTF">2025-10-14T17:10:43Z</dcterms:modified>
</cp:coreProperties>
</file>