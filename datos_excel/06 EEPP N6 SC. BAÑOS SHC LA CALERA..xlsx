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08"/>
  <workbookPr autoCompressPictures="0"/>
  <mc:AlternateContent xmlns:mc="http://schemas.openxmlformats.org/markup-compatibility/2006">
    <mc:Choice Requires="x15">
      <x15ac:absPath xmlns:x15ac="http://schemas.microsoft.com/office/spreadsheetml/2010/11/ac" url="/Users/manleymorejon/Library/CloudStorage/GoogleDrive-manley.mm.drive@gmail.com/.shortcut-targets-by-id/1n3KjOGI79A-V0pl_9PQKrwgKSqOthQpL/GERENCIA DE OPERACIONES/Obras Ganadas/2025/13. RBHCS La Calera /EEPP Subcontrato /EEPP Contrato/"/>
    </mc:Choice>
  </mc:AlternateContent>
  <xr:revisionPtr revIDLastSave="0" documentId="8_{82C30D71-ABB5-D94A-9551-2842B84F3EBD}" xr6:coauthVersionLast="47" xr6:coauthVersionMax="47" xr10:uidLastSave="{00000000-0000-0000-0000-000000000000}"/>
  <bookViews>
    <workbookView xWindow="0" yWindow="0" windowWidth="28800" windowHeight="18000" tabRatio="816" xr2:uid="{00000000-000D-0000-FFFF-FFFF00000000}"/>
  </bookViews>
  <sheets>
    <sheet name="RESUMEN" sheetId="1" r:id="rId1"/>
    <sheet name="1" sheetId="4" r:id="rId2"/>
    <sheet name="2" sheetId="13" r:id="rId3"/>
    <sheet name="3" sheetId="14" r:id="rId4"/>
    <sheet name="4" sheetId="15" r:id="rId5"/>
    <sheet name="5" sheetId="16" r:id="rId6"/>
    <sheet name="6" sheetId="17" r:id="rId7"/>
    <sheet name="7" sheetId="18" r:id="rId8"/>
    <sheet name="8" sheetId="19" r:id="rId9"/>
    <sheet name="9" sheetId="2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9" i="17" l="1"/>
  <c r="L20" i="17"/>
  <c r="L21" i="17"/>
  <c r="L22" i="17"/>
  <c r="L23" i="17"/>
  <c r="L26" i="17"/>
  <c r="L31" i="17"/>
  <c r="L33" i="17"/>
  <c r="L34" i="17"/>
  <c r="L36" i="17"/>
  <c r="L37" i="17"/>
  <c r="L38" i="17"/>
  <c r="L41" i="17"/>
  <c r="L24" i="13"/>
  <c r="L24" i="4"/>
  <c r="G26" i="17" l="1"/>
  <c r="K26" i="17" s="1"/>
  <c r="G38" i="17"/>
  <c r="K38" i="17" s="1"/>
  <c r="G41" i="17"/>
  <c r="K41" i="17" s="1"/>
  <c r="L23" i="19"/>
  <c r="M23" i="19" s="1"/>
  <c r="G23" i="19"/>
  <c r="I23" i="19" s="1"/>
  <c r="L35" i="16"/>
  <c r="G35" i="16"/>
  <c r="K35" i="16" s="1"/>
  <c r="L37" i="16"/>
  <c r="G37" i="16"/>
  <c r="K37" i="16" s="1"/>
  <c r="G31" i="17"/>
  <c r="K31" i="17" s="1"/>
  <c r="I35" i="16" l="1"/>
  <c r="M35" i="16"/>
  <c r="I26" i="17"/>
  <c r="M26" i="17"/>
  <c r="M31" i="17"/>
  <c r="I38" i="17"/>
  <c r="M38" i="17"/>
  <c r="M41" i="17"/>
  <c r="I41" i="17"/>
  <c r="K23" i="19"/>
  <c r="I37" i="16"/>
  <c r="M37" i="16"/>
  <c r="I31" i="17"/>
  <c r="G37" i="17" l="1"/>
  <c r="K37" i="17" s="1"/>
  <c r="G36" i="17"/>
  <c r="I36" i="17" s="1"/>
  <c r="L34" i="16"/>
  <c r="G34" i="16"/>
  <c r="K34" i="16" s="1"/>
  <c r="G34" i="17"/>
  <c r="I34" i="17" s="1"/>
  <c r="K36" i="17" l="1"/>
  <c r="M36" i="17"/>
  <c r="I37" i="17"/>
  <c r="M37" i="17"/>
  <c r="I34" i="16"/>
  <c r="M34" i="16"/>
  <c r="M34" i="17"/>
  <c r="K34" i="17"/>
  <c r="L33" i="16" l="1"/>
  <c r="G33" i="16"/>
  <c r="M33" i="16" s="1"/>
  <c r="L22" i="20"/>
  <c r="G22" i="20"/>
  <c r="K22" i="20" s="1"/>
  <c r="I33" i="16" l="1"/>
  <c r="K33" i="16"/>
  <c r="M22" i="20"/>
  <c r="I22" i="20"/>
  <c r="L45" i="20" l="1"/>
  <c r="M45" i="20" s="1"/>
  <c r="K45" i="20"/>
  <c r="I45" i="20"/>
  <c r="L21" i="20"/>
  <c r="G21" i="20"/>
  <c r="K21" i="20" s="1"/>
  <c r="L20" i="20"/>
  <c r="G20" i="20"/>
  <c r="I20" i="20" s="1"/>
  <c r="L19" i="20"/>
  <c r="G19" i="20"/>
  <c r="I19" i="20" s="1"/>
  <c r="M13" i="20"/>
  <c r="C10" i="20"/>
  <c r="M8" i="20"/>
  <c r="C8" i="20"/>
  <c r="C7" i="20"/>
  <c r="C6" i="20"/>
  <c r="M5" i="20"/>
  <c r="G24" i="4"/>
  <c r="G24" i="13"/>
  <c r="K24" i="13" l="1"/>
  <c r="I24" i="13"/>
  <c r="M24" i="13"/>
  <c r="K24" i="4"/>
  <c r="I24" i="4"/>
  <c r="M24" i="4"/>
  <c r="K20" i="20"/>
  <c r="M20" i="20"/>
  <c r="M19" i="20"/>
  <c r="K19" i="20"/>
  <c r="M21" i="20"/>
  <c r="I21" i="20"/>
  <c r="I43" i="20" s="1"/>
  <c r="G43" i="20"/>
  <c r="N25" i="1"/>
  <c r="L25" i="1"/>
  <c r="L45" i="19"/>
  <c r="M45" i="19" s="1"/>
  <c r="K45" i="19"/>
  <c r="I45" i="19"/>
  <c r="L21" i="19"/>
  <c r="G21" i="19"/>
  <c r="K21" i="19" s="1"/>
  <c r="L20" i="19"/>
  <c r="G20" i="19"/>
  <c r="K20" i="19" s="1"/>
  <c r="L19" i="19"/>
  <c r="G19" i="19"/>
  <c r="M13" i="19"/>
  <c r="C10" i="19"/>
  <c r="M8" i="19"/>
  <c r="C8" i="19"/>
  <c r="C7" i="19"/>
  <c r="C6" i="19"/>
  <c r="M5" i="19"/>
  <c r="L42" i="18"/>
  <c r="M42" i="18" s="1"/>
  <c r="K42" i="18"/>
  <c r="I42" i="18"/>
  <c r="L23" i="18"/>
  <c r="G23" i="18"/>
  <c r="K23" i="18" s="1"/>
  <c r="L22" i="18"/>
  <c r="G22" i="18"/>
  <c r="I22" i="18" s="1"/>
  <c r="L21" i="18"/>
  <c r="G21" i="18"/>
  <c r="K21" i="18" s="1"/>
  <c r="L20" i="18"/>
  <c r="G20" i="18"/>
  <c r="I20" i="18" s="1"/>
  <c r="L19" i="18"/>
  <c r="G19" i="18"/>
  <c r="I19" i="18" s="1"/>
  <c r="M13" i="18"/>
  <c r="C10" i="18"/>
  <c r="M8" i="18"/>
  <c r="C8" i="18"/>
  <c r="C7" i="18"/>
  <c r="C6" i="18"/>
  <c r="M5" i="18"/>
  <c r="L47" i="17"/>
  <c r="M47" i="17" s="1"/>
  <c r="K47" i="17"/>
  <c r="I47" i="17"/>
  <c r="G33" i="17"/>
  <c r="K33" i="17" s="1"/>
  <c r="G23" i="17"/>
  <c r="K23" i="17" s="1"/>
  <c r="G22" i="17"/>
  <c r="I22" i="17" s="1"/>
  <c r="G21" i="17"/>
  <c r="K21" i="17" s="1"/>
  <c r="G20" i="17"/>
  <c r="K20" i="17" s="1"/>
  <c r="G19" i="17"/>
  <c r="K19" i="17" s="1"/>
  <c r="M13" i="17"/>
  <c r="C10" i="17"/>
  <c r="M8" i="17"/>
  <c r="C8" i="17"/>
  <c r="C7" i="17"/>
  <c r="C6" i="17"/>
  <c r="M5" i="17"/>
  <c r="L27" i="16"/>
  <c r="G27" i="16"/>
  <c r="K27" i="16" s="1"/>
  <c r="L25" i="16"/>
  <c r="G25" i="16"/>
  <c r="I25" i="16" s="1"/>
  <c r="L24" i="16"/>
  <c r="G24" i="16"/>
  <c r="K24" i="16" s="1"/>
  <c r="L23" i="16"/>
  <c r="G23" i="16"/>
  <c r="K23" i="16" s="1"/>
  <c r="L22" i="16"/>
  <c r="G22" i="16"/>
  <c r="I22" i="16" s="1"/>
  <c r="L21" i="16"/>
  <c r="G21" i="16"/>
  <c r="I21" i="16" s="1"/>
  <c r="L20" i="16"/>
  <c r="G20" i="16"/>
  <c r="K20" i="16" s="1"/>
  <c r="L19" i="16"/>
  <c r="G19" i="16"/>
  <c r="K19" i="16" s="1"/>
  <c r="L30" i="16"/>
  <c r="G30" i="16"/>
  <c r="K30" i="16" s="1"/>
  <c r="G26" i="16"/>
  <c r="K26" i="16" s="1"/>
  <c r="L44" i="16"/>
  <c r="M44" i="16" s="1"/>
  <c r="K44" i="16"/>
  <c r="I44" i="16"/>
  <c r="L26" i="16"/>
  <c r="M13" i="16"/>
  <c r="C10" i="16"/>
  <c r="M8" i="16"/>
  <c r="C8" i="16"/>
  <c r="C7" i="16"/>
  <c r="C6" i="16"/>
  <c r="M5" i="16"/>
  <c r="K43" i="20" l="1"/>
  <c r="K44" i="20" s="1"/>
  <c r="K46" i="20" s="1"/>
  <c r="N27" i="1" s="1"/>
  <c r="M25" i="16"/>
  <c r="M43" i="20"/>
  <c r="I27" i="1" s="1"/>
  <c r="I23" i="18"/>
  <c r="M30" i="16"/>
  <c r="K22" i="16"/>
  <c r="M22" i="16"/>
  <c r="I44" i="20"/>
  <c r="I46" i="20" s="1"/>
  <c r="L27" i="1" s="1"/>
  <c r="K47" i="20"/>
  <c r="K48" i="20" s="1"/>
  <c r="G46" i="20"/>
  <c r="E27" i="1" s="1"/>
  <c r="E13" i="20"/>
  <c r="M20" i="16"/>
  <c r="I27" i="16"/>
  <c r="M27" i="16"/>
  <c r="K21" i="16"/>
  <c r="I30" i="16"/>
  <c r="M21" i="16"/>
  <c r="M24" i="16"/>
  <c r="K25" i="16"/>
  <c r="M23" i="18"/>
  <c r="K22" i="18"/>
  <c r="M22" i="18"/>
  <c r="M21" i="18"/>
  <c r="K19" i="18"/>
  <c r="M19" i="18"/>
  <c r="G43" i="19"/>
  <c r="K19" i="19"/>
  <c r="I19" i="19"/>
  <c r="M19" i="19"/>
  <c r="M21" i="19"/>
  <c r="K43" i="19"/>
  <c r="I20" i="19"/>
  <c r="M20" i="19"/>
  <c r="I21" i="19"/>
  <c r="G40" i="18"/>
  <c r="K20" i="18"/>
  <c r="I21" i="18"/>
  <c r="I40" i="18" s="1"/>
  <c r="M20" i="18"/>
  <c r="I23" i="17"/>
  <c r="M23" i="17"/>
  <c r="I19" i="17"/>
  <c r="K22" i="17"/>
  <c r="M22" i="17"/>
  <c r="M19" i="17"/>
  <c r="M21" i="17"/>
  <c r="K45" i="17"/>
  <c r="M20" i="17"/>
  <c r="M33" i="17"/>
  <c r="I20" i="17"/>
  <c r="I33" i="17"/>
  <c r="G45" i="17"/>
  <c r="I21" i="17"/>
  <c r="M19" i="16"/>
  <c r="M23" i="16"/>
  <c r="I19" i="16"/>
  <c r="I23" i="16"/>
  <c r="I20" i="16"/>
  <c r="I24" i="16"/>
  <c r="I26" i="16"/>
  <c r="M26" i="16"/>
  <c r="G42" i="16"/>
  <c r="M44" i="20" l="1"/>
  <c r="M46" i="20" s="1"/>
  <c r="M47" i="20" s="1"/>
  <c r="M48" i="20" s="1"/>
  <c r="K42" i="16"/>
  <c r="K43" i="16" s="1"/>
  <c r="K45" i="16" s="1"/>
  <c r="N23" i="1" s="1"/>
  <c r="I42" i="16"/>
  <c r="I43" i="16" s="1"/>
  <c r="I45" i="16" s="1"/>
  <c r="L23" i="1" s="1"/>
  <c r="P27" i="1"/>
  <c r="R27" i="1"/>
  <c r="I47" i="20"/>
  <c r="I48" i="20" s="1"/>
  <c r="G47" i="20"/>
  <c r="G48" i="20" s="1"/>
  <c r="E13" i="19"/>
  <c r="M40" i="18"/>
  <c r="K40" i="18"/>
  <c r="K41" i="18" s="1"/>
  <c r="K43" i="18" s="1"/>
  <c r="G46" i="19"/>
  <c r="E26" i="1" s="1"/>
  <c r="I43" i="19"/>
  <c r="I44" i="19" s="1"/>
  <c r="I46" i="19" s="1"/>
  <c r="L26" i="1" s="1"/>
  <c r="R26" i="1" s="1"/>
  <c r="M43" i="19"/>
  <c r="K44" i="19"/>
  <c r="K46" i="19" s="1"/>
  <c r="N26" i="1" s="1"/>
  <c r="I41" i="18"/>
  <c r="I43" i="18" s="1"/>
  <c r="M41" i="18"/>
  <c r="M43" i="18" s="1"/>
  <c r="I25" i="1" s="1"/>
  <c r="G43" i="18"/>
  <c r="E25" i="1" s="1"/>
  <c r="R25" i="1" s="1"/>
  <c r="E13" i="18"/>
  <c r="M45" i="17"/>
  <c r="M46" i="17" s="1"/>
  <c r="M48" i="17" s="1"/>
  <c r="I24" i="1" s="1"/>
  <c r="I45" i="17"/>
  <c r="I46" i="17" s="1"/>
  <c r="I48" i="17" s="1"/>
  <c r="L24" i="1" s="1"/>
  <c r="K46" i="17"/>
  <c r="K48" i="17" s="1"/>
  <c r="N24" i="1" s="1"/>
  <c r="E13" i="17"/>
  <c r="G48" i="17"/>
  <c r="E24" i="1" s="1"/>
  <c r="M42" i="16"/>
  <c r="M43" i="16" s="1"/>
  <c r="M45" i="16" s="1"/>
  <c r="I23" i="1" s="1"/>
  <c r="G45" i="16"/>
  <c r="E23" i="1" s="1"/>
  <c r="E13" i="16"/>
  <c r="G47" i="19" l="1"/>
  <c r="G48" i="19" s="1"/>
  <c r="P23" i="1"/>
  <c r="R23" i="1"/>
  <c r="P25" i="1"/>
  <c r="M44" i="19"/>
  <c r="M46" i="19" s="1"/>
  <c r="M47" i="19" s="1"/>
  <c r="M48" i="19" s="1"/>
  <c r="I26" i="1"/>
  <c r="P26" i="1"/>
  <c r="K47" i="19"/>
  <c r="K48" i="19" s="1"/>
  <c r="I47" i="19"/>
  <c r="I48" i="19" s="1"/>
  <c r="M44" i="18"/>
  <c r="M45" i="18" s="1"/>
  <c r="K44" i="18"/>
  <c r="K45" i="18" s="1"/>
  <c r="I44" i="18"/>
  <c r="I45" i="18" s="1"/>
  <c r="G44" i="18"/>
  <c r="G45" i="18" s="1"/>
  <c r="P24" i="1"/>
  <c r="R24" i="1"/>
  <c r="K49" i="17"/>
  <c r="K50" i="17" s="1"/>
  <c r="I49" i="17"/>
  <c r="I50" i="17" s="1"/>
  <c r="M49" i="17"/>
  <c r="M50" i="17" s="1"/>
  <c r="G49" i="17"/>
  <c r="G50" i="17" s="1"/>
  <c r="M46" i="16"/>
  <c r="M47" i="16" s="1"/>
  <c r="K46" i="16"/>
  <c r="K47" i="16" s="1"/>
  <c r="I46" i="16"/>
  <c r="I47" i="16" s="1"/>
  <c r="G46" i="16"/>
  <c r="G47" i="16" s="1"/>
  <c r="L37" i="15" l="1"/>
  <c r="L36" i="15"/>
  <c r="L35" i="15"/>
  <c r="L34" i="15"/>
  <c r="L33" i="15"/>
  <c r="L26" i="15"/>
  <c r="G37" i="15"/>
  <c r="K37" i="15" s="1"/>
  <c r="G36" i="15"/>
  <c r="K36" i="15" s="1"/>
  <c r="G35" i="15"/>
  <c r="I35" i="15" s="1"/>
  <c r="G34" i="15"/>
  <c r="K34" i="15" s="1"/>
  <c r="G33" i="15"/>
  <c r="K33" i="15" s="1"/>
  <c r="G26" i="15"/>
  <c r="K26" i="15" s="1"/>
  <c r="M26" i="15" l="1"/>
  <c r="I34" i="15"/>
  <c r="I26" i="15"/>
  <c r="M34" i="15"/>
  <c r="K35" i="15"/>
  <c r="I33" i="15"/>
  <c r="M36" i="15"/>
  <c r="I37" i="15"/>
  <c r="M37" i="15"/>
  <c r="M35" i="15"/>
  <c r="I36" i="15"/>
  <c r="M33" i="15"/>
  <c r="L42" i="15" l="1"/>
  <c r="M42" i="15" s="1"/>
  <c r="K42" i="15"/>
  <c r="I42" i="15"/>
  <c r="L19" i="15"/>
  <c r="G19" i="15"/>
  <c r="K19" i="15" s="1"/>
  <c r="M13" i="15"/>
  <c r="C10" i="15"/>
  <c r="M8" i="15"/>
  <c r="C8" i="15"/>
  <c r="C7" i="15"/>
  <c r="C6" i="15"/>
  <c r="M5" i="15"/>
  <c r="L42" i="14"/>
  <c r="M42" i="14" s="1"/>
  <c r="K42" i="14"/>
  <c r="I42" i="14"/>
  <c r="L22" i="14"/>
  <c r="G22" i="14"/>
  <c r="K22" i="14" s="1"/>
  <c r="L21" i="14"/>
  <c r="G21" i="14"/>
  <c r="I21" i="14" s="1"/>
  <c r="L20" i="14"/>
  <c r="G20" i="14"/>
  <c r="I20" i="14" s="1"/>
  <c r="L19" i="14"/>
  <c r="G19" i="14"/>
  <c r="K19" i="14" s="1"/>
  <c r="M13" i="14"/>
  <c r="C10" i="14"/>
  <c r="M8" i="14"/>
  <c r="C8" i="14"/>
  <c r="C7" i="14"/>
  <c r="C6" i="14"/>
  <c r="M5" i="14"/>
  <c r="L22" i="13"/>
  <c r="G22" i="13"/>
  <c r="K22" i="13" s="1"/>
  <c r="L22" i="4"/>
  <c r="G22" i="4"/>
  <c r="K22" i="4" s="1"/>
  <c r="C8" i="13"/>
  <c r="C10" i="13"/>
  <c r="L21" i="13"/>
  <c r="G21" i="13"/>
  <c r="K21" i="13" s="1"/>
  <c r="L21" i="4"/>
  <c r="G21" i="4"/>
  <c r="K21" i="4" s="1"/>
  <c r="L42" i="13"/>
  <c r="M42" i="13" s="1"/>
  <c r="K42" i="13"/>
  <c r="I42" i="13"/>
  <c r="L20" i="13"/>
  <c r="G20" i="13"/>
  <c r="I20" i="13" s="1"/>
  <c r="L19" i="13"/>
  <c r="G19" i="13"/>
  <c r="K19" i="13" s="1"/>
  <c r="M13" i="13"/>
  <c r="M8" i="13"/>
  <c r="C7" i="13"/>
  <c r="C6" i="13"/>
  <c r="M5" i="13"/>
  <c r="M22" i="13" l="1"/>
  <c r="I22" i="4"/>
  <c r="M21" i="13"/>
  <c r="I21" i="13"/>
  <c r="M22" i="4"/>
  <c r="K21" i="14"/>
  <c r="K40" i="15"/>
  <c r="K41" i="15" s="1"/>
  <c r="K43" i="15" s="1"/>
  <c r="N22" i="1" s="1"/>
  <c r="M19" i="15"/>
  <c r="M21" i="14"/>
  <c r="K20" i="14"/>
  <c r="M20" i="14"/>
  <c r="M19" i="14"/>
  <c r="G40" i="15"/>
  <c r="I19" i="15"/>
  <c r="M22" i="14"/>
  <c r="I22" i="14"/>
  <c r="G40" i="14"/>
  <c r="I19" i="14"/>
  <c r="I22" i="13"/>
  <c r="I19" i="13"/>
  <c r="I40" i="13" s="1"/>
  <c r="I41" i="13" s="1"/>
  <c r="I43" i="13" s="1"/>
  <c r="L20" i="1" s="1"/>
  <c r="M19" i="13"/>
  <c r="M40" i="13" s="1"/>
  <c r="I21" i="4"/>
  <c r="M21" i="4"/>
  <c r="K40" i="13"/>
  <c r="G40" i="13"/>
  <c r="K20" i="13"/>
  <c r="M20" i="13"/>
  <c r="K40" i="14" l="1"/>
  <c r="K41" i="14" s="1"/>
  <c r="K43" i="14" s="1"/>
  <c r="N21" i="1" s="1"/>
  <c r="M40" i="15"/>
  <c r="M41" i="15" s="1"/>
  <c r="M43" i="15" s="1"/>
  <c r="I22" i="1" s="1"/>
  <c r="I40" i="15"/>
  <c r="I41" i="15" s="1"/>
  <c r="I43" i="15" s="1"/>
  <c r="L22" i="1" s="1"/>
  <c r="I40" i="14"/>
  <c r="I41" i="14" s="1"/>
  <c r="I43" i="14" s="1"/>
  <c r="L21" i="1" s="1"/>
  <c r="M40" i="14"/>
  <c r="M41" i="14" s="1"/>
  <c r="M43" i="14" s="1"/>
  <c r="I21" i="1" s="1"/>
  <c r="K44" i="15"/>
  <c r="K45" i="15" s="1"/>
  <c r="E13" i="15"/>
  <c r="G43" i="15"/>
  <c r="E22" i="1" s="1"/>
  <c r="E13" i="14"/>
  <c r="G43" i="14"/>
  <c r="E21" i="1" s="1"/>
  <c r="I44" i="13"/>
  <c r="I45" i="13" s="1"/>
  <c r="M41" i="13"/>
  <c r="M43" i="13" s="1"/>
  <c r="I20" i="1" s="1"/>
  <c r="K41" i="13"/>
  <c r="K43" i="13" s="1"/>
  <c r="N20" i="1" s="1"/>
  <c r="E13" i="13"/>
  <c r="G43" i="13"/>
  <c r="E20" i="1" s="1"/>
  <c r="P22" i="1" l="1"/>
  <c r="K44" i="14"/>
  <c r="K45" i="14" s="1"/>
  <c r="R22" i="1"/>
  <c r="P21" i="1"/>
  <c r="R21" i="1"/>
  <c r="I44" i="15"/>
  <c r="I45" i="15" s="1"/>
  <c r="M44" i="15"/>
  <c r="M45" i="15" s="1"/>
  <c r="G44" i="15"/>
  <c r="G45" i="15" s="1"/>
  <c r="I44" i="14"/>
  <c r="I45" i="14" s="1"/>
  <c r="M44" i="14"/>
  <c r="M45" i="14" s="1"/>
  <c r="G44" i="14"/>
  <c r="G45" i="14" s="1"/>
  <c r="P20" i="1"/>
  <c r="R20" i="1"/>
  <c r="K44" i="13"/>
  <c r="K45" i="13" s="1"/>
  <c r="M44" i="13"/>
  <c r="M45" i="13" s="1"/>
  <c r="G44" i="13"/>
  <c r="G45" i="13" s="1"/>
  <c r="L19" i="4" l="1"/>
  <c r="G19" i="4"/>
  <c r="M19" i="4" l="1"/>
  <c r="K19" i="4"/>
  <c r="I19" i="4"/>
  <c r="G20" i="4" l="1"/>
  <c r="G40" i="4" l="1"/>
  <c r="G43" i="4" s="1"/>
  <c r="G44" i="4" s="1"/>
  <c r="G45" i="4" s="1"/>
  <c r="E19" i="1" l="1"/>
  <c r="E28" i="1" s="1"/>
  <c r="C10" i="4" l="1"/>
  <c r="C8" i="4"/>
  <c r="K42" i="4" l="1"/>
  <c r="I42" i="4"/>
  <c r="L42" i="4" l="1"/>
  <c r="M42" i="4" s="1"/>
  <c r="M28" i="1" l="1"/>
  <c r="L20" i="4" l="1"/>
  <c r="M20" i="4" s="1"/>
  <c r="I20" i="4"/>
  <c r="E14" i="1"/>
  <c r="E15" i="1"/>
  <c r="M13" i="4"/>
  <c r="M8" i="4"/>
  <c r="M5" i="4"/>
  <c r="C7" i="4"/>
  <c r="C6" i="4"/>
  <c r="K20" i="4"/>
  <c r="K40" i="4" s="1"/>
  <c r="M40" i="4" l="1"/>
  <c r="I40" i="4"/>
  <c r="E13" i="4"/>
  <c r="M41" i="4" l="1"/>
  <c r="M43" i="4" s="1"/>
  <c r="I19" i="1" s="1"/>
  <c r="I41" i="4"/>
  <c r="K41" i="4"/>
  <c r="K43" i="4" s="1"/>
  <c r="M44" i="4" l="1"/>
  <c r="M45" i="4" s="1"/>
  <c r="I43" i="4"/>
  <c r="L19" i="1" s="1"/>
  <c r="K44" i="4"/>
  <c r="N19" i="1"/>
  <c r="R19" i="1" l="1"/>
  <c r="L28" i="1"/>
  <c r="K45" i="4"/>
  <c r="N28" i="1"/>
  <c r="P19" i="1"/>
  <c r="I44" i="4"/>
  <c r="I45" i="4" s="1"/>
  <c r="I28" i="1"/>
  <c r="I30" i="1" l="1"/>
  <c r="I31" i="1" s="1"/>
  <c r="P28" i="1" l="1"/>
  <c r="E30" i="1" l="1"/>
  <c r="E31" i="1" s="1"/>
  <c r="R28" i="1"/>
</calcChain>
</file>

<file path=xl/sharedStrings.xml><?xml version="1.0" encoding="utf-8"?>
<sst xmlns="http://schemas.openxmlformats.org/spreadsheetml/2006/main" count="531" uniqueCount="166">
  <si>
    <t>al día</t>
  </si>
  <si>
    <t>a 15 días</t>
  </si>
  <si>
    <t>a 30 días</t>
  </si>
  <si>
    <t>Dirección:</t>
  </si>
  <si>
    <t>PLANILLA DE ESTADOS DE PAGO DE SUBCONTRATOS</t>
  </si>
  <si>
    <t>Comienzo de Obra:</t>
  </si>
  <si>
    <t>Cierre de Obra:</t>
  </si>
  <si>
    <t>PRSENTE</t>
  </si>
  <si>
    <t>Observación</t>
  </si>
  <si>
    <t>ACUMULADO</t>
  </si>
  <si>
    <t>ANTERIORES</t>
  </si>
  <si>
    <t>Saldo y/o Retención</t>
  </si>
  <si>
    <t>Nº</t>
  </si>
  <si>
    <t>SUBCONTRATISTA</t>
  </si>
  <si>
    <t>RUT</t>
  </si>
  <si>
    <t>CONCEPTO</t>
  </si>
  <si>
    <t>CONTRATO</t>
  </si>
  <si>
    <t>FACTURA</t>
  </si>
  <si>
    <t>F.pago</t>
  </si>
  <si>
    <t>CONTRATISTA</t>
  </si>
  <si>
    <t>TOTAL SUBCONTRATOS</t>
  </si>
  <si>
    <t>IVA</t>
  </si>
  <si>
    <t>Vº Bº ADMINISTRADOR OBRA</t>
  </si>
  <si>
    <t>OBRA</t>
  </si>
  <si>
    <t>UBICACIÓN</t>
  </si>
  <si>
    <t>Estado de pago</t>
  </si>
  <si>
    <t>DIRECCION</t>
  </si>
  <si>
    <t>R.U.T.</t>
  </si>
  <si>
    <t>Monto Contratado a la Fecha</t>
  </si>
  <si>
    <t>FECHA</t>
  </si>
  <si>
    <t>TOTAL</t>
  </si>
  <si>
    <t>Avance Acumulado</t>
  </si>
  <si>
    <t>Avance  E.P. 
ANTERIOR</t>
  </si>
  <si>
    <t>Presente</t>
  </si>
  <si>
    <t>ITEM</t>
  </si>
  <si>
    <t>DETALLE PARTIDAS</t>
  </si>
  <si>
    <t>a la  Fecha</t>
  </si>
  <si>
    <t>Estado de Pago</t>
  </si>
  <si>
    <t>%</t>
  </si>
  <si>
    <t>Monto $</t>
  </si>
  <si>
    <t>UN</t>
  </si>
  <si>
    <t>CANT</t>
  </si>
  <si>
    <t>PU</t>
  </si>
  <si>
    <t>SUB  TOTAL</t>
  </si>
  <si>
    <t>Retención</t>
  </si>
  <si>
    <t>NETO</t>
  </si>
  <si>
    <t>ru</t>
  </si>
  <si>
    <t>19%  VALOR  IVA</t>
  </si>
  <si>
    <t xml:space="preserve">TOTAL </t>
  </si>
  <si>
    <t>Constructora MM</t>
  </si>
  <si>
    <t xml:space="preserve">                   ESTADO DE PAGO Nº 1</t>
  </si>
  <si>
    <t>Obra:</t>
  </si>
  <si>
    <t>OC</t>
  </si>
  <si>
    <t>Fecha de Pago Oficina</t>
  </si>
  <si>
    <t>Avance Financiero</t>
  </si>
  <si>
    <t>GL</t>
  </si>
  <si>
    <t xml:space="preserve">Retención </t>
  </si>
  <si>
    <t>1.1</t>
  </si>
  <si>
    <t>PAGO RETENCIONES</t>
  </si>
  <si>
    <t>a 45 días</t>
  </si>
  <si>
    <t>a 60 días</t>
  </si>
  <si>
    <t>a 90 días</t>
  </si>
  <si>
    <t>Días de Obra:</t>
  </si>
  <si>
    <t>Días de Obra</t>
  </si>
  <si>
    <t>1.2</t>
  </si>
  <si>
    <t>no</t>
  </si>
  <si>
    <t>ARRIENDO MES AGOSTO</t>
  </si>
  <si>
    <t>GARANTIÍA</t>
  </si>
  <si>
    <t>CORREDORA LUZ MARIA CORREA</t>
  </si>
  <si>
    <t>DPTO 752</t>
  </si>
  <si>
    <t>DPTO 353</t>
  </si>
  <si>
    <t>COMISION CORREDORA</t>
  </si>
  <si>
    <t>CORREDORA YARELA YOVANNA</t>
  </si>
  <si>
    <t>11.520.369-K</t>
  </si>
  <si>
    <t>77.944.666-2</t>
  </si>
  <si>
    <t>REMODELACION BAÑOS SHC LA CALERA</t>
  </si>
  <si>
    <t>MALL OPEN PLAZA LA CALERA</t>
  </si>
  <si>
    <t>DPTO 353 CONDOMINIO RAVELLO</t>
  </si>
  <si>
    <t>DPTO 752 CONDOMINIO RAVELLO</t>
  </si>
  <si>
    <t>ARRIENDO MES SEPTIOEMBRE</t>
  </si>
  <si>
    <t>1.3</t>
  </si>
  <si>
    <t>FENOLICO EXPRESS</t>
  </si>
  <si>
    <t>MUEBLES VANITORIO Y BANCAS</t>
  </si>
  <si>
    <t>DIVISIONES FENOLICAS</t>
  </si>
  <si>
    <t>Cubículos de WC en fenólico solido de 19 mm color blanco con su respectiva herrajeria en acero inoxidable</t>
  </si>
  <si>
    <t>Puertas de ducha en fenólico solido de 19mm color blanco con su respectiva herrajeria en acero inoxidable</t>
  </si>
  <si>
    <t>Divisores de urinario en fenólico solido color blanco de 19mm</t>
  </si>
  <si>
    <t>Flete</t>
  </si>
  <si>
    <t>UNI</t>
  </si>
  <si>
    <t>78007082-K</t>
  </si>
  <si>
    <t>Puerta en tipo placarol con bastidor</t>
  </si>
  <si>
    <t>de madera pino finger.</t>
  </si>
  <si>
    <t>con tapa en mdf. De 5,5mm.</t>
  </si>
  <si>
    <t xml:space="preserve">revestidas en lamitech standard </t>
  </si>
  <si>
    <t>color Mouse 2193.</t>
  </si>
  <si>
    <t>no incluye marco</t>
  </si>
  <si>
    <t xml:space="preserve">Cubierta de granito gris mara con </t>
  </si>
  <si>
    <t>faldon de 15cm respaldo de 10</t>
  </si>
  <si>
    <t>no incluye vanitorios</t>
  </si>
  <si>
    <t>incluye perforaciones para vanitorios</t>
  </si>
  <si>
    <t xml:space="preserve">Banca </t>
  </si>
  <si>
    <t xml:space="preserve">Base estructura metálica </t>
  </si>
  <si>
    <t>con cubierta en madera pino barnizada</t>
  </si>
  <si>
    <t>Banca en L</t>
  </si>
  <si>
    <t>Instalación la Calera</t>
  </si>
  <si>
    <t>DESCUENTO</t>
  </si>
  <si>
    <t>BANCA</t>
  </si>
  <si>
    <t>JONATHAN PARDO</t>
  </si>
  <si>
    <t>GASFITER</t>
  </si>
  <si>
    <t>Suministro e instalación de Vanitorio cubierta de placa lisa de granito gris MARA o similar. Receptáculo modelo GEBBO marca WASSER. Montado sobre estructura metálica.</t>
  </si>
  <si>
    <t>Urinario  mural suspendido de porcelana vitrificada modelo Nette marca Wasser. Sifón botella para urinario cromado de wasser. Desagüe para urinario Stil de wasser.</t>
  </si>
  <si>
    <t>Fluxor tubo recto para urinario modelo KOLBEN código CW1001000 de WASSER</t>
  </si>
  <si>
    <t>W.C. de arrastre para fluxor  expuesto, modelo  WIDDER 2 código HU2021001 marca WASSER</t>
  </si>
  <si>
    <t>Fluxor expuesto LEREN II WF 6000000</t>
  </si>
  <si>
    <t>Ducha Antivandálica modelo Lange Weigen Marca Wasser y mezclador temporizador.</t>
  </si>
  <si>
    <t>Grifería temporizada Bojen Mix de wasser</t>
  </si>
  <si>
    <t>Termo 400lts baño de mujeres (sólo M.O)</t>
  </si>
  <si>
    <t>Desague duchas</t>
  </si>
  <si>
    <t xml:space="preserve">DESCUENTO </t>
  </si>
  <si>
    <t>18.512.369-3</t>
  </si>
  <si>
    <t>CERAMISTA</t>
  </si>
  <si>
    <t>Suministro e instalación de porcelanato 60x60, color gris, de HOLZTEK modelo Rustico SKU 261960-1. Instalado con adhesivo tipo Bekron</t>
  </si>
  <si>
    <t>Suministro e instalación de cerámica esmaltada en muros 30x60cm, color blanco brillante, de HOLZTEK SKU:231112-7. Instalado con adhesivo bekron muros.</t>
  </si>
  <si>
    <t>COMIDA Y TRASLADO</t>
  </si>
  <si>
    <t>'Suministro e instalación de canto de PVC típica para cerámica (va en todos los bordes).</t>
  </si>
  <si>
    <t>ML porcelanato y ceramica</t>
  </si>
  <si>
    <t>PINTOR</t>
  </si>
  <si>
    <t xml:space="preserve">LUIS URBINA </t>
  </si>
  <si>
    <t>Wyg Ingnieria Spa</t>
  </si>
  <si>
    <t>ELECTRICO CONEXIÓN CONTENEDO</t>
  </si>
  <si>
    <t>77.953.777-3</t>
  </si>
  <si>
    <t>COMPRA DE REMARCADO</t>
  </si>
  <si>
    <t>2DO TRASLADO  POR INSTALACION DE REMARCADOR</t>
  </si>
  <si>
    <t>CONEXIÓN DE CONTENEDOR Y TABLERO ELECTRICO CON REMARCADOR. INCLUYE CORDO ELECTRICO Y MATERIALES</t>
  </si>
  <si>
    <t>ARRIENDO MES SEPTIEMBRE</t>
  </si>
  <si>
    <t>DEVOLUCION DE GARANTIA</t>
  </si>
  <si>
    <t>ALEX YAÑEZ</t>
  </si>
  <si>
    <t>ESPEJOS</t>
  </si>
  <si>
    <t>MARCO DE PUERTA</t>
  </si>
  <si>
    <t>VIDRIO VENTANA</t>
  </si>
  <si>
    <t>TRASLADOS</t>
  </si>
  <si>
    <t>Razón social  Fabrica de Muebles LM SPA</t>
  </si>
  <si>
    <t>78229023-1</t>
  </si>
  <si>
    <t>78.037.274-5</t>
  </si>
  <si>
    <t>SERVICIOS DE CONSTRUCCION JADER SPA</t>
  </si>
  <si>
    <t>sueldo Agosto</t>
  </si>
  <si>
    <t>gl</t>
  </si>
  <si>
    <t>cotizaciones  Agosto</t>
  </si>
  <si>
    <t>DESCUENTO  sueldo JADER</t>
  </si>
  <si>
    <t>DESCUENTO  cotizaciones JADER</t>
  </si>
  <si>
    <t>DESCUENTO  sueldo MANUEL</t>
  </si>
  <si>
    <t>DESCUENTO  cotizaciones MANUEL</t>
  </si>
  <si>
    <t>ESPEJOS MARCO DE PUERTA</t>
  </si>
  <si>
    <t>diferencia informada mes de agosto</t>
  </si>
  <si>
    <t>sueldo y cotizaciones Septiembre</t>
  </si>
  <si>
    <t>DESCONEXION DE TABLERO Y CONEXIÓN DE TERMO</t>
  </si>
  <si>
    <t xml:space="preserve">GL </t>
  </si>
  <si>
    <t>INCLUYE TRASLADO</t>
  </si>
  <si>
    <t>DESCUENTOS SUELDO MES DE SEPTIEMBRE</t>
  </si>
  <si>
    <t>DIFERENCIA DE ENTRE SUELDOS Y COTIZACIONES AGOSTO</t>
  </si>
  <si>
    <t>DIFERENCIA DE M2 INSTALADO VS CANTIDAD ITEMIZADO</t>
  </si>
  <si>
    <t>M2</t>
  </si>
  <si>
    <t>ML</t>
  </si>
  <si>
    <t>SERVICIOS SE DESCUENTAN DE GARANTIA</t>
  </si>
  <si>
    <t>DESCUENTO por cierre</t>
  </si>
  <si>
    <t>EEPP#06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</si>
</sst>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42" formatCode="_ &quot;$&quot;* #,##0_ ;_ &quot;$&quot;* \-#,##0_ ;_ &quot;$&quot;* &quot;-&quot;_ ;_ @_ "/>
    <numFmt numFmtId="164" formatCode="_-&quot;$&quot;* #,##0_-;\-&quot;$&quot;* #,##0_-;_-&quot;$&quot;* &quot;-&quot;_-;_-@_-"/>
    <numFmt numFmtId="165" formatCode="_-* #,##0.00_-;\-* #,##0.00_-;_-* &quot;-&quot;??_-;_-@_-"/>
    <numFmt numFmtId="166" formatCode="&quot; &quot;* #,##0&quot;     &quot;;&quot;-&quot;* #,##0&quot;     &quot;;&quot; &quot;* &quot;-&quot;??&quot;     &quot;"/>
    <numFmt numFmtId="167" formatCode="dd\-mm\-yyyy"/>
    <numFmt numFmtId="168" formatCode="&quot; &quot;&quot;$&quot;&quot; &quot;* #,##0&quot; &quot;;&quot;-&quot;&quot;$&quot;&quot; &quot;* #,##0&quot; &quot;;&quot; &quot;&quot;$&quot;&quot; &quot;* &quot;-&quot;??&quot; &quot;"/>
    <numFmt numFmtId="169" formatCode="#,##0.000"/>
    <numFmt numFmtId="170" formatCode="#,##0.0;[Red]#,##0.0"/>
    <numFmt numFmtId="171" formatCode="#,##0.000;[Red]#,##0.000"/>
    <numFmt numFmtId="172" formatCode="&quot;$&quot;#,##0;[Red]&quot;$&quot;#,##0"/>
    <numFmt numFmtId="173" formatCode="&quot; &quot;* #,##0.00&quot; &quot;;&quot;-&quot;* #,##0.00&quot; &quot;;&quot; &quot;* &quot;-&quot;??&quot; &quot;"/>
    <numFmt numFmtId="174" formatCode="0.000"/>
    <numFmt numFmtId="175" formatCode="_-&quot;$&quot;\ * #,##0.00_-;\-&quot;$&quot;\ * #,##0.00_-;_-&quot;$&quot;\ * &quot;-&quot;??_-;_-@_-"/>
    <numFmt numFmtId="176" formatCode="&quot; &quot;&quot;$&quot;&quot; &quot;* #,##0.00&quot; &quot;;&quot;-&quot;&quot;$&quot;&quot; &quot;* #,##0.00&quot; &quot;;&quot; &quot;&quot;$&quot;&quot; &quot;* &quot;-&quot;??&quot; &quot;"/>
    <numFmt numFmtId="177" formatCode="0.0"/>
    <numFmt numFmtId="178" formatCode="_ * #,##0.00_ ;_ * \-#,##0.00_ ;_ * &quot;-&quot;_ ;_ @_ "/>
  </numFmts>
  <fonts count="49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rgb="FF000000"/>
      <name val="Helvetica"/>
      <family val="2"/>
    </font>
    <font>
      <b/>
      <sz val="10"/>
      <color rgb="FF000000"/>
      <name val="Century Gothic"/>
      <family val="2"/>
    </font>
    <font>
      <b/>
      <sz val="10"/>
      <color rgb="FF333399"/>
      <name val="Century Gothic"/>
      <family val="2"/>
    </font>
    <font>
      <sz val="18"/>
      <color rgb="FF333399"/>
      <name val="Century Gothic"/>
      <family val="2"/>
    </font>
    <font>
      <b/>
      <sz val="18"/>
      <color rgb="FF333399"/>
      <name val="Century Gothic"/>
      <family val="2"/>
    </font>
    <font>
      <b/>
      <sz val="18"/>
      <color rgb="FFFF2C21"/>
      <name val="Century Gothic"/>
      <family val="2"/>
    </font>
    <font>
      <sz val="10"/>
      <color rgb="FF333399"/>
      <name val="Century Gothic"/>
      <family val="2"/>
    </font>
    <font>
      <u/>
      <sz val="11"/>
      <color rgb="FF333399"/>
      <name val="Century Gothic"/>
      <family val="2"/>
    </font>
    <font>
      <b/>
      <sz val="11"/>
      <color rgb="FF333399"/>
      <name val="Century Gothic"/>
      <family val="2"/>
    </font>
    <font>
      <b/>
      <sz val="12"/>
      <color rgb="FF333399"/>
      <name val="Century Gothic"/>
      <family val="2"/>
    </font>
    <font>
      <b/>
      <sz val="10"/>
      <color rgb="FFFF0000"/>
      <name val="Century Gothic"/>
      <family val="2"/>
    </font>
    <font>
      <b/>
      <sz val="20"/>
      <color rgb="FF333399"/>
      <name val="Century Gothic"/>
      <family val="2"/>
    </font>
    <font>
      <sz val="10"/>
      <color rgb="FF000000"/>
      <name val="Century Gothic"/>
      <family val="2"/>
    </font>
    <font>
      <b/>
      <sz val="10"/>
      <color rgb="FF000000"/>
      <name val="Helvetica"/>
      <family val="2"/>
    </font>
    <font>
      <sz val="10"/>
      <color rgb="FF000000"/>
      <name val="Arial"/>
      <family val="2"/>
    </font>
    <font>
      <sz val="9"/>
      <color rgb="FF000000"/>
      <name val="Century Gothic"/>
      <family val="2"/>
    </font>
    <font>
      <sz val="8"/>
      <color rgb="FF000000"/>
      <name val="Century Gothic"/>
      <family val="2"/>
    </font>
    <font>
      <sz val="12"/>
      <color rgb="FF000000"/>
      <name val="Century Gothic"/>
      <family val="2"/>
    </font>
    <font>
      <sz val="10"/>
      <color rgb="FF333399"/>
      <name val="Arial"/>
      <family val="2"/>
    </font>
    <font>
      <b/>
      <sz val="16"/>
      <color rgb="FF000000"/>
      <name val="Century Gothic"/>
      <family val="2"/>
    </font>
    <font>
      <sz val="11"/>
      <color rgb="FF000000"/>
      <name val="Century Gothic"/>
      <family val="2"/>
    </font>
    <font>
      <b/>
      <sz val="12"/>
      <color rgb="FF000000"/>
      <name val="Arial Narrow"/>
      <family val="2"/>
    </font>
    <font>
      <b/>
      <sz val="11"/>
      <color rgb="FF000000"/>
      <name val="Century Gothic"/>
      <family val="2"/>
    </font>
    <font>
      <b/>
      <sz val="12"/>
      <color rgb="FF000000"/>
      <name val="Century Gothic"/>
      <family val="2"/>
    </font>
    <font>
      <sz val="10"/>
      <name val="Century Gothic"/>
      <family val="2"/>
    </font>
    <font>
      <b/>
      <sz val="11"/>
      <color rgb="FFDD0806"/>
      <name val="Century Gothic"/>
      <family val="2"/>
    </font>
    <font>
      <b/>
      <sz val="10"/>
      <name val="Century Gothic"/>
      <family val="2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sz val="10"/>
      <name val="Arial"/>
      <family val="2"/>
    </font>
    <font>
      <b/>
      <sz val="10"/>
      <color rgb="FF000000"/>
      <name val="Century Gothic"/>
      <family val="1"/>
    </font>
    <font>
      <b/>
      <u/>
      <sz val="18"/>
      <color rgb="FF333399"/>
      <name val="Century Gothic"/>
      <family val="1"/>
    </font>
    <font>
      <sz val="10"/>
      <name val="Helvetica"/>
      <family val="2"/>
    </font>
    <font>
      <sz val="11"/>
      <color theme="1"/>
      <name val="Calibri"/>
      <family val="2"/>
      <scheme val="minor"/>
    </font>
    <font>
      <b/>
      <sz val="12"/>
      <color rgb="FF000000"/>
      <name val="Century Gothic"/>
      <family val="1"/>
    </font>
    <font>
      <b/>
      <sz val="8"/>
      <color rgb="FF000000"/>
      <name val="Century Gothic"/>
      <family val="1"/>
    </font>
    <font>
      <b/>
      <sz val="11"/>
      <color rgb="FF000000"/>
      <name val="Century Gothic"/>
      <family val="1"/>
    </font>
    <font>
      <b/>
      <sz val="10"/>
      <color rgb="FFDD0806"/>
      <name val="Century Gothic"/>
      <family val="1"/>
    </font>
    <font>
      <sz val="10"/>
      <color theme="1"/>
      <name val="ArialMT"/>
    </font>
    <font>
      <sz val="12"/>
      <name val="Century Gothic"/>
      <family val="2"/>
    </font>
    <font>
      <sz val="10"/>
      <name val="Helv"/>
      <charset val="204"/>
    </font>
    <font>
      <b/>
      <sz val="12"/>
      <color theme="1"/>
      <name val="Calibri"/>
      <family val="2"/>
      <scheme val="minor"/>
    </font>
    <font>
      <sz val="10"/>
      <color rgb="FFFF0000"/>
      <name val="Century Gothic"/>
      <family val="2"/>
    </font>
    <font>
      <sz val="10"/>
      <color rgb="FFFF0000"/>
      <name val="Arial"/>
      <family val="2"/>
    </font>
    <font>
      <sz val="10"/>
      <color rgb="FF222222"/>
      <name val="Times New Roman"/>
      <family val="1"/>
    </font>
    <font>
      <sz val="10"/>
      <color rgb="FF000000"/>
      <name val="Times New Roman"/>
      <family val="1"/>
    </font>
  </fonts>
  <fills count="11">
    <fill>
      <patternFill patternType="none"/>
    </fill>
    <fill>
      <patternFill patternType="gray125"/>
    </fill>
    <fill>
      <patternFill patternType="solid">
        <fgColor rgb="FFFFFFFF"/>
        <bgColor auto="1"/>
      </patternFill>
    </fill>
    <fill>
      <patternFill patternType="solid">
        <fgColor rgb="FF33CCCC"/>
        <bgColor auto="1"/>
      </patternFill>
    </fill>
    <fill>
      <patternFill patternType="solid">
        <fgColor rgb="FF9CE159"/>
        <bgColor auto="1"/>
      </patternFill>
    </fill>
    <fill>
      <patternFill patternType="solid">
        <fgColor rgb="FF63B2DE"/>
        <bgColor auto="1"/>
      </patternFill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499984740745262"/>
        <bgColor indexed="64"/>
      </patternFill>
    </fill>
  </fills>
  <borders count="81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AAAAAA"/>
      </left>
      <right style="thin">
        <color rgb="FFAAAAAA"/>
      </right>
      <top/>
      <bottom style="thin">
        <color rgb="FF000000"/>
      </bottom>
      <diagonal/>
    </border>
    <border>
      <left style="thin">
        <color rgb="FFAAAAAA"/>
      </left>
      <right style="thin">
        <color rgb="FFAAAAAA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AAAAAA"/>
      </right>
      <top style="thin">
        <color rgb="FF000000"/>
      </top>
      <bottom style="thin">
        <color rgb="FF000000"/>
      </bottom>
      <diagonal/>
    </border>
    <border>
      <left style="thin">
        <color rgb="FFAAAAAA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AAAAAA"/>
      </right>
      <top style="thin">
        <color rgb="FF000000"/>
      </top>
      <bottom/>
      <diagonal/>
    </border>
    <border>
      <left style="thin">
        <color rgb="FFAAAAAA"/>
      </left>
      <right style="thin">
        <color rgb="FFAAAAAA"/>
      </right>
      <top style="thin">
        <color rgb="FF000000"/>
      </top>
      <bottom/>
      <diagonal/>
    </border>
    <border>
      <left style="thin">
        <color rgb="FFAAAAAA"/>
      </left>
      <right/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AAAAAA"/>
      </bottom>
      <diagonal/>
    </border>
    <border>
      <left style="thin">
        <color rgb="FF000000"/>
      </left>
      <right style="thin">
        <color rgb="FF000000"/>
      </right>
      <top style="thin">
        <color rgb="FFAAAAAA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AAAAAA"/>
      </left>
      <right style="thin">
        <color rgb="FFAAAAAA"/>
      </right>
      <top style="thin">
        <color rgb="FF000000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/>
      <bottom style="thin">
        <color rgb="FFAAAAAA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000000"/>
      </right>
      <top style="thin">
        <color rgb="FFAAAAAA"/>
      </top>
      <bottom style="thin">
        <color rgb="FFAAAAAA"/>
      </bottom>
      <diagonal/>
    </border>
    <border>
      <left style="thin">
        <color rgb="FF000000"/>
      </left>
      <right style="thin">
        <color rgb="FF000000"/>
      </right>
      <top style="thin">
        <color rgb="FFAAAAAA"/>
      </top>
      <bottom style="thin">
        <color rgb="FFAAAAAA"/>
      </bottom>
      <diagonal/>
    </border>
    <border>
      <left style="thin">
        <color rgb="FF000000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000000"/>
      </right>
      <top style="thin">
        <color rgb="FF000000"/>
      </top>
      <bottom style="thin">
        <color rgb="FFAAAAAA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AAAAAA"/>
      </right>
      <top style="medium">
        <color rgb="FF000000"/>
      </top>
      <bottom style="thin">
        <color rgb="FF000000"/>
      </bottom>
      <diagonal/>
    </border>
    <border>
      <left style="thin">
        <color rgb="FFAAAAAA"/>
      </left>
      <right style="thin">
        <color rgb="FFAAAAAA"/>
      </right>
      <top style="medium">
        <color rgb="FF000000"/>
      </top>
      <bottom style="thin">
        <color rgb="FF000000"/>
      </bottom>
      <diagonal/>
    </border>
    <border>
      <left style="thin">
        <color rgb="FFAAAAAA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AAAAAA"/>
      </right>
      <top style="thin">
        <color rgb="FF000000"/>
      </top>
      <bottom style="thin">
        <color rgb="FF000000"/>
      </bottom>
      <diagonal/>
    </border>
    <border>
      <left style="thin">
        <color rgb="FFAAAAAA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AAAAAA"/>
      </right>
      <top style="thin">
        <color rgb="FF000000"/>
      </top>
      <bottom/>
      <diagonal/>
    </border>
    <border>
      <left style="thin">
        <color rgb="FFAAAAAA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AAAAAA"/>
      </right>
      <top style="thin">
        <color rgb="FF000000"/>
      </top>
      <bottom style="thin">
        <color rgb="FFAAAAAA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AAAAAA"/>
      </right>
      <top/>
      <bottom/>
      <diagonal/>
    </border>
    <border>
      <left style="thin">
        <color rgb="FFAAAAAA"/>
      </left>
      <right style="thin">
        <color rgb="FFAAAAAA"/>
      </right>
      <top/>
      <bottom/>
      <diagonal/>
    </border>
    <border>
      <left style="thin">
        <color rgb="FFAAAAAA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AAAAAA"/>
      </right>
      <top/>
      <bottom style="thin">
        <color rgb="FF000000"/>
      </bottom>
      <diagonal/>
    </border>
    <border>
      <left style="thin">
        <color rgb="FFAAAAAA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AAAAAA"/>
      </right>
      <top style="thin">
        <color rgb="FFAAAAAA"/>
      </top>
      <bottom style="thin">
        <color rgb="FF000000"/>
      </bottom>
      <diagonal/>
    </border>
    <border>
      <left style="thin">
        <color rgb="FFAAAAAA"/>
      </left>
      <right style="thin">
        <color rgb="FF000000"/>
      </right>
      <top style="thin">
        <color rgb="FFAAAAAA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AAAAAA"/>
      </right>
      <top/>
      <bottom/>
      <diagonal/>
    </border>
    <border>
      <left style="thin">
        <color rgb="FFAAAAAA"/>
      </left>
      <right/>
      <top/>
      <bottom/>
      <diagonal/>
    </border>
    <border>
      <left style="thin">
        <color rgb="FFAAAAAA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47">
    <xf numFmtId="0" fontId="0" fillId="0" borderId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165" fontId="32" fillId="0" borderId="0" applyFont="0" applyFill="0" applyBorder="0" applyAlignment="0" applyProtection="0"/>
    <xf numFmtId="0" fontId="32" fillId="0" borderId="0"/>
    <xf numFmtId="175" fontId="36" fillId="0" borderId="0" applyFont="0" applyFill="0" applyBorder="0" applyAlignment="0" applyProtection="0"/>
    <xf numFmtId="164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0" fontId="32" fillId="0" borderId="0"/>
    <xf numFmtId="0" fontId="43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42" fontId="32" fillId="0" borderId="0" applyFont="0" applyFill="0" applyBorder="0" applyAlignment="0" applyProtection="0"/>
  </cellStyleXfs>
  <cellXfs count="409">
    <xf numFmtId="0" fontId="0" fillId="0" borderId="0" xfId="0"/>
    <xf numFmtId="0" fontId="2" fillId="2" borderId="0" xfId="0" applyFont="1" applyFill="1"/>
    <xf numFmtId="0" fontId="2" fillId="2" borderId="1" xfId="0" applyFont="1" applyFill="1" applyBorder="1"/>
    <xf numFmtId="0" fontId="2" fillId="2" borderId="2" xfId="0" applyFont="1" applyFill="1" applyBorder="1"/>
    <xf numFmtId="0" fontId="3" fillId="2" borderId="3" xfId="0" applyFont="1" applyFill="1" applyBorder="1" applyAlignment="1">
      <alignment horizontal="center"/>
    </xf>
    <xf numFmtId="0" fontId="2" fillId="2" borderId="4" xfId="0" applyFont="1" applyFill="1" applyBorder="1"/>
    <xf numFmtId="0" fontId="2" fillId="2" borderId="5" xfId="0" applyFont="1" applyFill="1" applyBorder="1"/>
    <xf numFmtId="1" fontId="5" fillId="2" borderId="0" xfId="0" applyNumberFormat="1" applyFont="1" applyFill="1"/>
    <xf numFmtId="0" fontId="6" fillId="2" borderId="1" xfId="0" applyFont="1" applyFill="1" applyBorder="1" applyAlignment="1">
      <alignment horizontal="right"/>
    </xf>
    <xf numFmtId="0" fontId="6" fillId="2" borderId="8" xfId="0" applyFont="1" applyFill="1" applyBorder="1" applyAlignment="1">
      <alignment horizontal="right"/>
    </xf>
    <xf numFmtId="1" fontId="6" fillId="2" borderId="8" xfId="0" applyNumberFormat="1" applyFont="1" applyFill="1" applyBorder="1" applyAlignment="1">
      <alignment horizontal="left"/>
    </xf>
    <xf numFmtId="1" fontId="5" fillId="2" borderId="2" xfId="0" applyNumberFormat="1" applyFont="1" applyFill="1" applyBorder="1"/>
    <xf numFmtId="166" fontId="8" fillId="2" borderId="0" xfId="0" applyNumberFormat="1" applyFont="1" applyFill="1"/>
    <xf numFmtId="0" fontId="9" fillId="2" borderId="0" xfId="0" applyFont="1" applyFill="1" applyAlignment="1">
      <alignment horizontal="right"/>
    </xf>
    <xf numFmtId="14" fontId="10" fillId="2" borderId="0" xfId="0" applyNumberFormat="1" applyFont="1" applyFill="1" applyAlignment="1">
      <alignment horizontal="left"/>
    </xf>
    <xf numFmtId="1" fontId="11" fillId="2" borderId="0" xfId="0" applyNumberFormat="1" applyFont="1" applyFill="1" applyAlignment="1">
      <alignment horizontal="right"/>
    </xf>
    <xf numFmtId="166" fontId="12" fillId="2" borderId="0" xfId="0" applyNumberFormat="1" applyFont="1" applyFill="1" applyAlignment="1">
      <alignment horizontal="left"/>
    </xf>
    <xf numFmtId="0" fontId="13" fillId="2" borderId="0" xfId="0" applyFont="1" applyFill="1" applyAlignment="1">
      <alignment horizontal="center"/>
    </xf>
    <xf numFmtId="1" fontId="13" fillId="2" borderId="0" xfId="0" applyNumberFormat="1" applyFont="1" applyFill="1" applyAlignment="1">
      <alignment horizontal="center"/>
    </xf>
    <xf numFmtId="0" fontId="13" fillId="2" borderId="14" xfId="0" applyFont="1" applyFill="1" applyBorder="1" applyAlignment="1">
      <alignment horizontal="center"/>
    </xf>
    <xf numFmtId="1" fontId="13" fillId="2" borderId="5" xfId="0" applyNumberFormat="1" applyFont="1" applyFill="1" applyBorder="1" applyAlignment="1">
      <alignment horizontal="center"/>
    </xf>
    <xf numFmtId="0" fontId="2" fillId="2" borderId="15" xfId="0" applyFont="1" applyFill="1" applyBorder="1"/>
    <xf numFmtId="0" fontId="14" fillId="4" borderId="3" xfId="0" applyFont="1" applyFill="1" applyBorder="1" applyAlignment="1">
      <alignment horizontal="center"/>
    </xf>
    <xf numFmtId="0" fontId="3" fillId="5" borderId="3" xfId="0" applyFont="1" applyFill="1" applyBorder="1" applyAlignment="1">
      <alignment horizontal="center"/>
    </xf>
    <xf numFmtId="0" fontId="15" fillId="2" borderId="4" xfId="0" applyFont="1" applyFill="1" applyBorder="1"/>
    <xf numFmtId="0" fontId="15" fillId="5" borderId="3" xfId="0" applyFont="1" applyFill="1" applyBorder="1" applyAlignment="1">
      <alignment horizontal="center"/>
    </xf>
    <xf numFmtId="167" fontId="3" fillId="4" borderId="3" xfId="0" applyNumberFormat="1" applyFont="1" applyFill="1" applyBorder="1" applyAlignment="1">
      <alignment horizontal="center"/>
    </xf>
    <xf numFmtId="16" fontId="14" fillId="5" borderId="3" xfId="0" applyNumberFormat="1" applyFont="1" applyFill="1" applyBorder="1" applyAlignment="1">
      <alignment horizontal="center"/>
    </xf>
    <xf numFmtId="1" fontId="16" fillId="0" borderId="3" xfId="0" applyNumberFormat="1" applyFont="1" applyBorder="1" applyAlignment="1">
      <alignment horizontal="center"/>
    </xf>
    <xf numFmtId="1" fontId="14" fillId="0" borderId="3" xfId="0" applyNumberFormat="1" applyFont="1" applyBorder="1"/>
    <xf numFmtId="1" fontId="14" fillId="0" borderId="3" xfId="0" applyNumberFormat="1" applyFont="1" applyBorder="1" applyAlignment="1">
      <alignment horizontal="center"/>
    </xf>
    <xf numFmtId="1" fontId="17" fillId="0" borderId="3" xfId="0" applyNumberFormat="1" applyFont="1" applyBorder="1" applyAlignment="1">
      <alignment horizontal="center"/>
    </xf>
    <xf numFmtId="168" fontId="14" fillId="0" borderId="3" xfId="0" applyNumberFormat="1" applyFont="1" applyBorder="1"/>
    <xf numFmtId="1" fontId="18" fillId="0" borderId="3" xfId="0" applyNumberFormat="1" applyFont="1" applyBorder="1" applyAlignment="1">
      <alignment horizontal="center"/>
    </xf>
    <xf numFmtId="1" fontId="16" fillId="5" borderId="3" xfId="0" applyNumberFormat="1" applyFont="1" applyFill="1" applyBorder="1"/>
    <xf numFmtId="1" fontId="14" fillId="5" borderId="3" xfId="0" applyNumberFormat="1" applyFont="1" applyFill="1" applyBorder="1" applyAlignment="1">
      <alignment horizontal="center"/>
    </xf>
    <xf numFmtId="168" fontId="3" fillId="5" borderId="3" xfId="0" applyNumberFormat="1" applyFont="1" applyFill="1" applyBorder="1"/>
    <xf numFmtId="1" fontId="14" fillId="2" borderId="3" xfId="0" applyNumberFormat="1" applyFont="1" applyFill="1" applyBorder="1" applyAlignment="1">
      <alignment horizontal="center"/>
    </xf>
    <xf numFmtId="168" fontId="3" fillId="4" borderId="3" xfId="0" applyNumberFormat="1" applyFont="1" applyFill="1" applyBorder="1"/>
    <xf numFmtId="1" fontId="16" fillId="0" borderId="19" xfId="0" applyNumberFormat="1" applyFont="1" applyBorder="1"/>
    <xf numFmtId="1" fontId="16" fillId="0" borderId="7" xfId="0" applyNumberFormat="1" applyFont="1" applyBorder="1"/>
    <xf numFmtId="1" fontId="16" fillId="0" borderId="20" xfId="0" applyNumberFormat="1" applyFont="1" applyBorder="1"/>
    <xf numFmtId="1" fontId="16" fillId="0" borderId="21" xfId="0" applyNumberFormat="1" applyFont="1" applyBorder="1"/>
    <xf numFmtId="0" fontId="19" fillId="0" borderId="22" xfId="0" applyFont="1" applyBorder="1" applyAlignment="1">
      <alignment horizontal="right"/>
    </xf>
    <xf numFmtId="168" fontId="16" fillId="0" borderId="3" xfId="0" applyNumberFormat="1" applyFont="1" applyBorder="1"/>
    <xf numFmtId="1" fontId="16" fillId="0" borderId="23" xfId="0" applyNumberFormat="1" applyFont="1" applyBorder="1"/>
    <xf numFmtId="0" fontId="16" fillId="0" borderId="3" xfId="0" applyFont="1" applyBorder="1"/>
    <xf numFmtId="1" fontId="16" fillId="0" borderId="24" xfId="0" applyNumberFormat="1" applyFont="1" applyBorder="1"/>
    <xf numFmtId="1" fontId="16" fillId="0" borderId="22" xfId="0" applyNumberFormat="1" applyFont="1" applyBorder="1"/>
    <xf numFmtId="0" fontId="16" fillId="0" borderId="21" xfId="0" applyFont="1" applyBorder="1"/>
    <xf numFmtId="1" fontId="20" fillId="0" borderId="21" xfId="0" applyNumberFormat="1" applyFont="1" applyBorder="1"/>
    <xf numFmtId="0" fontId="16" fillId="0" borderId="0" xfId="0" applyFont="1"/>
    <xf numFmtId="0" fontId="2" fillId="2" borderId="26" xfId="0" applyFont="1" applyFill="1" applyBorder="1"/>
    <xf numFmtId="0" fontId="2" fillId="2" borderId="27" xfId="0" applyFont="1" applyFill="1" applyBorder="1"/>
    <xf numFmtId="1" fontId="14" fillId="2" borderId="31" xfId="0" applyNumberFormat="1" applyFont="1" applyFill="1" applyBorder="1"/>
    <xf numFmtId="1" fontId="14" fillId="2" borderId="32" xfId="0" applyNumberFormat="1" applyFont="1" applyFill="1" applyBorder="1"/>
    <xf numFmtId="168" fontId="14" fillId="2" borderId="32" xfId="0" applyNumberFormat="1" applyFont="1" applyFill="1" applyBorder="1"/>
    <xf numFmtId="1" fontId="14" fillId="2" borderId="32" xfId="0" applyNumberFormat="1" applyFont="1" applyFill="1" applyBorder="1" applyAlignment="1">
      <alignment horizontal="center"/>
    </xf>
    <xf numFmtId="1" fontId="14" fillId="2" borderId="33" xfId="0" applyNumberFormat="1" applyFont="1" applyFill="1" applyBorder="1"/>
    <xf numFmtId="1" fontId="14" fillId="2" borderId="34" xfId="0" applyNumberFormat="1" applyFont="1" applyFill="1" applyBorder="1"/>
    <xf numFmtId="1" fontId="14" fillId="2" borderId="1" xfId="0" applyNumberFormat="1" applyFont="1" applyFill="1" applyBorder="1"/>
    <xf numFmtId="168" fontId="14" fillId="2" borderId="1" xfId="0" applyNumberFormat="1" applyFont="1" applyFill="1" applyBorder="1"/>
    <xf numFmtId="1" fontId="14" fillId="2" borderId="1" xfId="0" applyNumberFormat="1" applyFont="1" applyFill="1" applyBorder="1" applyAlignment="1">
      <alignment horizontal="center"/>
    </xf>
    <xf numFmtId="0" fontId="3" fillId="2" borderId="35" xfId="0" applyFont="1" applyFill="1" applyBorder="1" applyAlignment="1">
      <alignment horizontal="right"/>
    </xf>
    <xf numFmtId="0" fontId="22" fillId="2" borderId="31" xfId="0" applyFont="1" applyFill="1" applyBorder="1"/>
    <xf numFmtId="0" fontId="23" fillId="2" borderId="32" xfId="0" applyFont="1" applyFill="1" applyBorder="1"/>
    <xf numFmtId="1" fontId="24" fillId="2" borderId="32" xfId="0" applyNumberFormat="1" applyFont="1" applyFill="1" applyBorder="1"/>
    <xf numFmtId="1" fontId="22" fillId="2" borderId="32" xfId="0" applyNumberFormat="1" applyFont="1" applyFill="1" applyBorder="1"/>
    <xf numFmtId="168" fontId="22" fillId="2" borderId="32" xfId="0" applyNumberFormat="1" applyFont="1" applyFill="1" applyBorder="1"/>
    <xf numFmtId="14" fontId="22" fillId="2" borderId="32" xfId="0" applyNumberFormat="1" applyFont="1" applyFill="1" applyBorder="1" applyAlignment="1">
      <alignment horizontal="center"/>
    </xf>
    <xf numFmtId="1" fontId="22" fillId="2" borderId="33" xfId="0" applyNumberFormat="1" applyFont="1" applyFill="1" applyBorder="1"/>
    <xf numFmtId="0" fontId="22" fillId="2" borderId="36" xfId="0" applyFont="1" applyFill="1" applyBorder="1"/>
    <xf numFmtId="0" fontId="23" fillId="2" borderId="0" xfId="0" applyFont="1" applyFill="1"/>
    <xf numFmtId="1" fontId="24" fillId="2" borderId="0" xfId="0" applyNumberFormat="1" applyFont="1" applyFill="1"/>
    <xf numFmtId="1" fontId="22" fillId="2" borderId="0" xfId="0" applyNumberFormat="1" applyFont="1" applyFill="1"/>
    <xf numFmtId="168" fontId="22" fillId="2" borderId="0" xfId="0" applyNumberFormat="1" applyFont="1" applyFill="1"/>
    <xf numFmtId="1" fontId="22" fillId="2" borderId="0" xfId="0" applyNumberFormat="1" applyFont="1" applyFill="1" applyAlignment="1">
      <alignment horizontal="center"/>
    </xf>
    <xf numFmtId="1" fontId="14" fillId="2" borderId="0" xfId="0" applyNumberFormat="1" applyFont="1" applyFill="1"/>
    <xf numFmtId="1" fontId="14" fillId="2" borderId="0" xfId="0" applyNumberFormat="1" applyFont="1" applyFill="1" applyAlignment="1">
      <alignment horizontal="center"/>
    </xf>
    <xf numFmtId="0" fontId="24" fillId="2" borderId="27" xfId="0" applyFont="1" applyFill="1" applyBorder="1"/>
    <xf numFmtId="0" fontId="22" fillId="2" borderId="27" xfId="0" applyFont="1" applyFill="1" applyBorder="1" applyAlignment="1">
      <alignment horizontal="center"/>
    </xf>
    <xf numFmtId="1" fontId="22" fillId="2" borderId="27" xfId="0" applyNumberFormat="1" applyFont="1" applyFill="1" applyBorder="1"/>
    <xf numFmtId="0" fontId="22" fillId="2" borderId="34" xfId="0" applyFont="1" applyFill="1" applyBorder="1"/>
    <xf numFmtId="1" fontId="23" fillId="0" borderId="1" xfId="0" applyNumberFormat="1" applyFont="1" applyBorder="1"/>
    <xf numFmtId="1" fontId="24" fillId="2" borderId="1" xfId="0" applyNumberFormat="1" applyFont="1" applyFill="1" applyBorder="1"/>
    <xf numFmtId="1" fontId="22" fillId="2" borderId="1" xfId="0" applyNumberFormat="1" applyFont="1" applyFill="1" applyBorder="1"/>
    <xf numFmtId="168" fontId="22" fillId="2" borderId="1" xfId="0" applyNumberFormat="1" applyFont="1" applyFill="1" applyBorder="1"/>
    <xf numFmtId="1" fontId="22" fillId="2" borderId="1" xfId="0" applyNumberFormat="1" applyFont="1" applyFill="1" applyBorder="1" applyAlignment="1">
      <alignment horizontal="center"/>
    </xf>
    <xf numFmtId="1" fontId="22" fillId="2" borderId="35" xfId="0" applyNumberFormat="1" applyFont="1" applyFill="1" applyBorder="1"/>
    <xf numFmtId="0" fontId="24" fillId="2" borderId="39" xfId="0" applyFont="1" applyFill="1" applyBorder="1"/>
    <xf numFmtId="1" fontId="14" fillId="2" borderId="8" xfId="0" applyNumberFormat="1" applyFont="1" applyFill="1" applyBorder="1"/>
    <xf numFmtId="168" fontId="25" fillId="2" borderId="8" xfId="0" applyNumberFormat="1" applyFont="1" applyFill="1" applyBorder="1" applyAlignment="1">
      <alignment horizontal="center"/>
    </xf>
    <xf numFmtId="1" fontId="22" fillId="2" borderId="8" xfId="0" applyNumberFormat="1" applyFont="1" applyFill="1" applyBorder="1"/>
    <xf numFmtId="168" fontId="22" fillId="2" borderId="8" xfId="0" applyNumberFormat="1" applyFont="1" applyFill="1" applyBorder="1"/>
    <xf numFmtId="1" fontId="22" fillId="2" borderId="8" xfId="0" applyNumberFormat="1" applyFont="1" applyFill="1" applyBorder="1" applyAlignment="1">
      <alignment horizontal="center"/>
    </xf>
    <xf numFmtId="0" fontId="22" fillId="2" borderId="8" xfId="0" applyFont="1" applyFill="1" applyBorder="1" applyAlignment="1">
      <alignment horizontal="center" vertical="center"/>
    </xf>
    <xf numFmtId="14" fontId="24" fillId="2" borderId="40" xfId="0" applyNumberFormat="1" applyFont="1" applyFill="1" applyBorder="1" applyAlignment="1">
      <alignment vertical="center"/>
    </xf>
    <xf numFmtId="1" fontId="22" fillId="2" borderId="39" xfId="0" applyNumberFormat="1" applyFont="1" applyFill="1" applyBorder="1"/>
    <xf numFmtId="1" fontId="22" fillId="2" borderId="40" xfId="0" applyNumberFormat="1" applyFont="1" applyFill="1" applyBorder="1"/>
    <xf numFmtId="1" fontId="22" fillId="2" borderId="41" xfId="0" applyNumberFormat="1" applyFont="1" applyFill="1" applyBorder="1" applyAlignment="1">
      <alignment horizontal="center"/>
    </xf>
    <xf numFmtId="169" fontId="14" fillId="2" borderId="42" xfId="0" applyNumberFormat="1" applyFont="1" applyFill="1" applyBorder="1" applyAlignment="1">
      <alignment horizontal="center"/>
    </xf>
    <xf numFmtId="169" fontId="14" fillId="2" borderId="32" xfId="0" applyNumberFormat="1" applyFont="1" applyFill="1" applyBorder="1" applyAlignment="1">
      <alignment horizontal="center"/>
    </xf>
    <xf numFmtId="169" fontId="14" fillId="2" borderId="43" xfId="0" applyNumberFormat="1" applyFont="1" applyFill="1" applyBorder="1" applyAlignment="1">
      <alignment horizontal="left"/>
    </xf>
    <xf numFmtId="0" fontId="3" fillId="2" borderId="18" xfId="0" applyFont="1" applyFill="1" applyBorder="1" applyAlignment="1">
      <alignment horizontal="center"/>
    </xf>
    <xf numFmtId="0" fontId="24" fillId="2" borderId="47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" fontId="22" fillId="2" borderId="56" xfId="0" applyNumberFormat="1" applyFont="1" applyFill="1" applyBorder="1" applyAlignment="1">
      <alignment horizontal="center"/>
    </xf>
    <xf numFmtId="169" fontId="14" fillId="2" borderId="55" xfId="0" applyNumberFormat="1" applyFont="1" applyFill="1" applyBorder="1" applyAlignment="1">
      <alignment horizontal="center"/>
    </xf>
    <xf numFmtId="0" fontId="14" fillId="2" borderId="3" xfId="0" applyFont="1" applyFill="1" applyBorder="1" applyAlignment="1">
      <alignment horizontal="center"/>
    </xf>
    <xf numFmtId="0" fontId="14" fillId="2" borderId="58" xfId="0" applyFont="1" applyFill="1" applyBorder="1" applyAlignment="1">
      <alignment horizontal="center"/>
    </xf>
    <xf numFmtId="168" fontId="14" fillId="2" borderId="18" xfId="0" applyNumberFormat="1" applyFont="1" applyFill="1" applyBorder="1" applyAlignment="1">
      <alignment horizontal="right"/>
    </xf>
    <xf numFmtId="9" fontId="14" fillId="2" borderId="18" xfId="0" applyNumberFormat="1" applyFont="1" applyFill="1" applyBorder="1" applyAlignment="1">
      <alignment horizontal="center"/>
    </xf>
    <xf numFmtId="168" fontId="14" fillId="2" borderId="59" xfId="0" applyNumberFormat="1" applyFont="1" applyFill="1" applyBorder="1" applyAlignment="1">
      <alignment horizontal="right"/>
    </xf>
    <xf numFmtId="9" fontId="14" fillId="2" borderId="4" xfId="0" applyNumberFormat="1" applyFont="1" applyFill="1" applyBorder="1" applyAlignment="1">
      <alignment horizontal="center"/>
    </xf>
    <xf numFmtId="168" fontId="14" fillId="2" borderId="4" xfId="0" applyNumberFormat="1" applyFont="1" applyFill="1" applyBorder="1"/>
    <xf numFmtId="168" fontId="14" fillId="2" borderId="60" xfId="0" applyNumberFormat="1" applyFont="1" applyFill="1" applyBorder="1"/>
    <xf numFmtId="169" fontId="14" fillId="2" borderId="15" xfId="0" applyNumberFormat="1" applyFont="1" applyFill="1" applyBorder="1" applyAlignment="1">
      <alignment horizontal="right"/>
    </xf>
    <xf numFmtId="1" fontId="22" fillId="2" borderId="31" xfId="0" applyNumberFormat="1" applyFont="1" applyFill="1" applyBorder="1" applyAlignment="1">
      <alignment horizontal="center"/>
    </xf>
    <xf numFmtId="0" fontId="14" fillId="2" borderId="32" xfId="0" applyFont="1" applyFill="1" applyBorder="1"/>
    <xf numFmtId="169" fontId="14" fillId="2" borderId="43" xfId="0" applyNumberFormat="1" applyFont="1" applyFill="1" applyBorder="1" applyAlignment="1">
      <alignment horizontal="right"/>
    </xf>
    <xf numFmtId="168" fontId="14" fillId="2" borderId="18" xfId="0" applyNumberFormat="1" applyFont="1" applyFill="1" applyBorder="1"/>
    <xf numFmtId="170" fontId="14" fillId="2" borderId="18" xfId="0" applyNumberFormat="1" applyFont="1" applyFill="1" applyBorder="1" applyAlignment="1">
      <alignment horizontal="center"/>
    </xf>
    <xf numFmtId="38" fontId="14" fillId="2" borderId="18" xfId="0" applyNumberFormat="1" applyFont="1" applyFill="1" applyBorder="1" applyAlignment="1">
      <alignment horizontal="center"/>
    </xf>
    <xf numFmtId="171" fontId="14" fillId="2" borderId="18" xfId="0" applyNumberFormat="1" applyFont="1" applyFill="1" applyBorder="1" applyAlignment="1">
      <alignment horizontal="right"/>
    </xf>
    <xf numFmtId="168" fontId="14" fillId="2" borderId="59" xfId="0" applyNumberFormat="1" applyFont="1" applyFill="1" applyBorder="1"/>
    <xf numFmtId="1" fontId="22" fillId="2" borderId="34" xfId="0" applyNumberFormat="1" applyFont="1" applyFill="1" applyBorder="1" applyAlignment="1">
      <alignment horizontal="center"/>
    </xf>
    <xf numFmtId="1" fontId="3" fillId="2" borderId="27" xfId="0" applyNumberFormat="1" applyFont="1" applyFill="1" applyBorder="1"/>
    <xf numFmtId="1" fontId="24" fillId="2" borderId="39" xfId="0" applyNumberFormat="1" applyFont="1" applyFill="1" applyBorder="1" applyAlignment="1">
      <alignment horizontal="center"/>
    </xf>
    <xf numFmtId="0" fontId="3" fillId="2" borderId="8" xfId="0" applyFont="1" applyFill="1" applyBorder="1"/>
    <xf numFmtId="1" fontId="3" fillId="2" borderId="8" xfId="0" applyNumberFormat="1" applyFont="1" applyFill="1" applyBorder="1"/>
    <xf numFmtId="169" fontId="3" fillId="2" borderId="62" xfId="0" applyNumberFormat="1" applyFont="1" applyFill="1" applyBorder="1" applyAlignment="1">
      <alignment horizontal="right"/>
    </xf>
    <xf numFmtId="168" fontId="3" fillId="2" borderId="3" xfId="0" applyNumberFormat="1" applyFont="1" applyFill="1" applyBorder="1"/>
    <xf numFmtId="38" fontId="3" fillId="2" borderId="3" xfId="0" applyNumberFormat="1" applyFont="1" applyFill="1" applyBorder="1" applyAlignment="1">
      <alignment horizontal="center"/>
    </xf>
    <xf numFmtId="171" fontId="3" fillId="2" borderId="3" xfId="0" applyNumberFormat="1" applyFont="1" applyFill="1" applyBorder="1" applyAlignment="1">
      <alignment horizontal="right"/>
    </xf>
    <xf numFmtId="168" fontId="3" fillId="2" borderId="58" xfId="0" applyNumberFormat="1" applyFont="1" applyFill="1" applyBorder="1"/>
    <xf numFmtId="0" fontId="14" fillId="2" borderId="1" xfId="0" applyFont="1" applyFill="1" applyBorder="1"/>
    <xf numFmtId="168" fontId="3" fillId="2" borderId="57" xfId="0" applyNumberFormat="1" applyFont="1" applyFill="1" applyBorder="1"/>
    <xf numFmtId="170" fontId="3" fillId="2" borderId="57" xfId="0" applyNumberFormat="1" applyFont="1" applyFill="1" applyBorder="1" applyAlignment="1">
      <alignment horizontal="center"/>
    </xf>
    <xf numFmtId="38" fontId="3" fillId="2" borderId="57" xfId="0" applyNumberFormat="1" applyFont="1" applyFill="1" applyBorder="1" applyAlignment="1">
      <alignment horizontal="center"/>
    </xf>
    <xf numFmtId="171" fontId="3" fillId="2" borderId="57" xfId="0" applyNumberFormat="1" applyFont="1" applyFill="1" applyBorder="1" applyAlignment="1">
      <alignment horizontal="right"/>
    </xf>
    <xf numFmtId="169" fontId="22" fillId="2" borderId="32" xfId="0" applyNumberFormat="1" applyFont="1" applyFill="1" applyBorder="1" applyAlignment="1">
      <alignment horizontal="right"/>
    </xf>
    <xf numFmtId="170" fontId="22" fillId="2" borderId="32" xfId="0" applyNumberFormat="1" applyFont="1" applyFill="1" applyBorder="1" applyAlignment="1">
      <alignment horizontal="center"/>
    </xf>
    <xf numFmtId="171" fontId="22" fillId="2" borderId="32" xfId="0" applyNumberFormat="1" applyFont="1" applyFill="1" applyBorder="1"/>
    <xf numFmtId="38" fontId="22" fillId="2" borderId="32" xfId="0" applyNumberFormat="1" applyFont="1" applyFill="1" applyBorder="1" applyAlignment="1">
      <alignment horizontal="center"/>
    </xf>
    <xf numFmtId="171" fontId="22" fillId="2" borderId="32" xfId="0" applyNumberFormat="1" applyFont="1" applyFill="1" applyBorder="1" applyAlignment="1">
      <alignment horizontal="center"/>
    </xf>
    <xf numFmtId="171" fontId="22" fillId="2" borderId="33" xfId="0" applyNumberFormat="1" applyFont="1" applyFill="1" applyBorder="1"/>
    <xf numFmtId="1" fontId="22" fillId="2" borderId="36" xfId="0" applyNumberFormat="1" applyFont="1" applyFill="1" applyBorder="1" applyAlignment="1">
      <alignment horizontal="center"/>
    </xf>
    <xf numFmtId="1" fontId="27" fillId="2" borderId="0" xfId="0" applyNumberFormat="1" applyFont="1" applyFill="1" applyAlignment="1">
      <alignment horizontal="left"/>
    </xf>
    <xf numFmtId="169" fontId="27" fillId="2" borderId="0" xfId="0" applyNumberFormat="1" applyFont="1" applyFill="1" applyAlignment="1">
      <alignment horizontal="left"/>
    </xf>
    <xf numFmtId="168" fontId="27" fillId="2" borderId="0" xfId="0" applyNumberFormat="1" applyFont="1" applyFill="1" applyAlignment="1">
      <alignment horizontal="left"/>
    </xf>
    <xf numFmtId="170" fontId="22" fillId="2" borderId="0" xfId="0" applyNumberFormat="1" applyFont="1" applyFill="1" applyAlignment="1">
      <alignment horizontal="center"/>
    </xf>
    <xf numFmtId="171" fontId="22" fillId="2" borderId="0" xfId="0" applyNumberFormat="1" applyFont="1" applyFill="1"/>
    <xf numFmtId="38" fontId="22" fillId="2" borderId="0" xfId="0" applyNumberFormat="1" applyFont="1" applyFill="1" applyAlignment="1">
      <alignment horizontal="center"/>
    </xf>
    <xf numFmtId="171" fontId="22" fillId="2" borderId="0" xfId="0" applyNumberFormat="1" applyFont="1" applyFill="1" applyAlignment="1">
      <alignment horizontal="center"/>
    </xf>
    <xf numFmtId="171" fontId="22" fillId="2" borderId="27" xfId="0" applyNumberFormat="1" applyFont="1" applyFill="1" applyBorder="1"/>
    <xf numFmtId="1" fontId="22" fillId="2" borderId="36" xfId="0" applyNumberFormat="1" applyFont="1" applyFill="1" applyBorder="1" applyAlignment="1">
      <alignment horizontal="center" vertical="center"/>
    </xf>
    <xf numFmtId="170" fontId="22" fillId="2" borderId="0" xfId="0" applyNumberFormat="1" applyFont="1" applyFill="1" applyAlignment="1">
      <alignment horizontal="center" vertical="center"/>
    </xf>
    <xf numFmtId="168" fontId="22" fillId="2" borderId="0" xfId="0" applyNumberFormat="1" applyFont="1" applyFill="1" applyAlignment="1">
      <alignment vertical="center"/>
    </xf>
    <xf numFmtId="173" fontId="22" fillId="2" borderId="0" xfId="0" applyNumberFormat="1" applyFont="1" applyFill="1" applyAlignment="1">
      <alignment horizontal="center" vertical="center"/>
    </xf>
    <xf numFmtId="171" fontId="22" fillId="2" borderId="0" xfId="0" applyNumberFormat="1" applyFont="1" applyFill="1" applyAlignment="1">
      <alignment horizontal="center" vertical="center"/>
    </xf>
    <xf numFmtId="4" fontId="22" fillId="2" borderId="27" xfId="0" applyNumberFormat="1" applyFont="1" applyFill="1" applyBorder="1" applyAlignment="1">
      <alignment horizontal="center" vertical="center"/>
    </xf>
    <xf numFmtId="1" fontId="14" fillId="2" borderId="36" xfId="0" applyNumberFormat="1" applyFont="1" applyFill="1" applyBorder="1"/>
    <xf numFmtId="168" fontId="14" fillId="2" borderId="0" xfId="0" applyNumberFormat="1" applyFont="1" applyFill="1"/>
    <xf numFmtId="1" fontId="14" fillId="2" borderId="27" xfId="0" applyNumberFormat="1" applyFont="1" applyFill="1" applyBorder="1"/>
    <xf numFmtId="1" fontId="14" fillId="2" borderId="35" xfId="0" applyNumberFormat="1" applyFont="1" applyFill="1" applyBorder="1"/>
    <xf numFmtId="1" fontId="22" fillId="2" borderId="31" xfId="0" applyNumberFormat="1" applyFont="1" applyFill="1" applyBorder="1" applyAlignment="1">
      <alignment horizontal="center" vertical="center"/>
    </xf>
    <xf numFmtId="1" fontId="14" fillId="2" borderId="66" xfId="0" applyNumberFormat="1" applyFont="1" applyFill="1" applyBorder="1"/>
    <xf numFmtId="1" fontId="14" fillId="2" borderId="26" xfId="0" applyNumberFormat="1" applyFont="1" applyFill="1" applyBorder="1"/>
    <xf numFmtId="168" fontId="14" fillId="2" borderId="26" xfId="0" applyNumberFormat="1" applyFont="1" applyFill="1" applyBorder="1"/>
    <xf numFmtId="1" fontId="14" fillId="2" borderId="26" xfId="0" applyNumberFormat="1" applyFont="1" applyFill="1" applyBorder="1" applyAlignment="1">
      <alignment horizontal="center"/>
    </xf>
    <xf numFmtId="1" fontId="14" fillId="2" borderId="67" xfId="0" applyNumberFormat="1" applyFont="1" applyFill="1" applyBorder="1"/>
    <xf numFmtId="1" fontId="23" fillId="2" borderId="0" xfId="0" applyNumberFormat="1" applyFont="1" applyFill="1"/>
    <xf numFmtId="0" fontId="28" fillId="2" borderId="3" xfId="0" applyFont="1" applyFill="1" applyBorder="1" applyAlignment="1">
      <alignment horizontal="center"/>
    </xf>
    <xf numFmtId="0" fontId="35" fillId="2" borderId="4" xfId="0" applyFont="1" applyFill="1" applyBorder="1"/>
    <xf numFmtId="1" fontId="18" fillId="0" borderId="68" xfId="0" applyNumberFormat="1" applyFont="1" applyBorder="1" applyAlignment="1">
      <alignment horizontal="center"/>
    </xf>
    <xf numFmtId="168" fontId="14" fillId="0" borderId="43" xfId="0" applyNumberFormat="1" applyFont="1" applyBorder="1"/>
    <xf numFmtId="1" fontId="14" fillId="2" borderId="68" xfId="0" applyNumberFormat="1" applyFont="1" applyFill="1" applyBorder="1" applyAlignment="1">
      <alignment horizontal="center"/>
    </xf>
    <xf numFmtId="168" fontId="3" fillId="4" borderId="62" xfId="0" applyNumberFormat="1" applyFont="1" applyFill="1" applyBorder="1"/>
    <xf numFmtId="1" fontId="16" fillId="0" borderId="6" xfId="0" applyNumberFormat="1" applyFont="1" applyBorder="1"/>
    <xf numFmtId="9" fontId="14" fillId="2" borderId="43" xfId="0" applyNumberFormat="1" applyFont="1" applyFill="1" applyBorder="1" applyAlignment="1">
      <alignment horizontal="center"/>
    </xf>
    <xf numFmtId="9" fontId="14" fillId="2" borderId="2" xfId="0" applyNumberFormat="1" applyFont="1" applyFill="1" applyBorder="1" applyAlignment="1">
      <alignment horizontal="center"/>
    </xf>
    <xf numFmtId="168" fontId="14" fillId="2" borderId="4" xfId="0" applyNumberFormat="1" applyFont="1" applyFill="1" applyBorder="1" applyAlignment="1">
      <alignment horizontal="center"/>
    </xf>
    <xf numFmtId="168" fontId="14" fillId="2" borderId="70" xfId="0" applyNumberFormat="1" applyFont="1" applyFill="1" applyBorder="1"/>
    <xf numFmtId="0" fontId="3" fillId="7" borderId="18" xfId="0" applyFont="1" applyFill="1" applyBorder="1" applyAlignment="1">
      <alignment horizontal="center" vertical="center" wrapText="1"/>
    </xf>
    <xf numFmtId="164" fontId="16" fillId="0" borderId="0" xfId="138" applyFont="1" applyFill="1" applyBorder="1" applyAlignment="1"/>
    <xf numFmtId="164" fontId="0" fillId="0" borderId="0" xfId="138" applyFont="1"/>
    <xf numFmtId="0" fontId="33" fillId="5" borderId="14" xfId="0" applyFont="1" applyFill="1" applyBorder="1" applyAlignment="1">
      <alignment horizontal="center" vertical="center"/>
    </xf>
    <xf numFmtId="16" fontId="33" fillId="5" borderId="14" xfId="0" applyNumberFormat="1" applyFont="1" applyFill="1" applyBorder="1" applyAlignment="1">
      <alignment horizontal="center" vertical="center"/>
    </xf>
    <xf numFmtId="0" fontId="0" fillId="0" borderId="14" xfId="0" applyBorder="1" applyAlignment="1">
      <alignment horizontal="center"/>
    </xf>
    <xf numFmtId="0" fontId="37" fillId="7" borderId="14" xfId="0" applyFont="1" applyFill="1" applyBorder="1" applyAlignment="1">
      <alignment horizontal="center"/>
    </xf>
    <xf numFmtId="1" fontId="38" fillId="7" borderId="14" xfId="0" applyNumberFormat="1" applyFont="1" applyFill="1" applyBorder="1" applyAlignment="1">
      <alignment horizontal="center"/>
    </xf>
    <xf numFmtId="1" fontId="33" fillId="7" borderId="14" xfId="0" applyNumberFormat="1" applyFont="1" applyFill="1" applyBorder="1" applyAlignment="1">
      <alignment horizontal="center"/>
    </xf>
    <xf numFmtId="164" fontId="16" fillId="0" borderId="21" xfId="138" applyFont="1" applyFill="1" applyBorder="1" applyAlignment="1"/>
    <xf numFmtId="168" fontId="0" fillId="0" borderId="0" xfId="0" applyNumberFormat="1"/>
    <xf numFmtId="1" fontId="14" fillId="8" borderId="68" xfId="0" applyNumberFormat="1" applyFont="1" applyFill="1" applyBorder="1"/>
    <xf numFmtId="168" fontId="14" fillId="8" borderId="3" xfId="0" applyNumberFormat="1" applyFont="1" applyFill="1" applyBorder="1"/>
    <xf numFmtId="168" fontId="14" fillId="8" borderId="2" xfId="0" applyNumberFormat="1" applyFont="1" applyFill="1" applyBorder="1"/>
    <xf numFmtId="168" fontId="33" fillId="8" borderId="3" xfId="0" applyNumberFormat="1" applyFont="1" applyFill="1" applyBorder="1" applyAlignment="1">
      <alignment horizontal="center"/>
    </xf>
    <xf numFmtId="0" fontId="2" fillId="8" borderId="4" xfId="0" applyFont="1" applyFill="1" applyBorder="1"/>
    <xf numFmtId="9" fontId="0" fillId="8" borderId="14" xfId="139" applyFont="1" applyFill="1" applyBorder="1" applyAlignment="1">
      <alignment horizontal="center"/>
    </xf>
    <xf numFmtId="168" fontId="26" fillId="8" borderId="3" xfId="0" applyNumberFormat="1" applyFont="1" applyFill="1" applyBorder="1"/>
    <xf numFmtId="1" fontId="23" fillId="0" borderId="1" xfId="0" applyNumberFormat="1" applyFont="1" applyBorder="1" applyAlignment="1">
      <alignment horizontal="left"/>
    </xf>
    <xf numFmtId="1" fontId="39" fillId="7" borderId="34" xfId="0" applyNumberFormat="1" applyFont="1" applyFill="1" applyBorder="1" applyAlignment="1">
      <alignment horizontal="center"/>
    </xf>
    <xf numFmtId="0" fontId="40" fillId="7" borderId="1" xfId="0" applyFont="1" applyFill="1" applyBorder="1"/>
    <xf numFmtId="1" fontId="40" fillId="7" borderId="1" xfId="0" applyNumberFormat="1" applyFont="1" applyFill="1" applyBorder="1"/>
    <xf numFmtId="9" fontId="40" fillId="7" borderId="15" xfId="0" applyNumberFormat="1" applyFont="1" applyFill="1" applyBorder="1" applyAlignment="1">
      <alignment horizontal="right"/>
    </xf>
    <xf numFmtId="168" fontId="40" fillId="7" borderId="57" xfId="0" applyNumberFormat="1" applyFont="1" applyFill="1" applyBorder="1"/>
    <xf numFmtId="170" fontId="40" fillId="7" borderId="57" xfId="0" applyNumberFormat="1" applyFont="1" applyFill="1" applyBorder="1" applyAlignment="1">
      <alignment horizontal="center"/>
    </xf>
    <xf numFmtId="172" fontId="40" fillId="7" borderId="57" xfId="0" applyNumberFormat="1" applyFont="1" applyFill="1" applyBorder="1"/>
    <xf numFmtId="38" fontId="40" fillId="7" borderId="57" xfId="0" applyNumberFormat="1" applyFont="1" applyFill="1" applyBorder="1" applyAlignment="1">
      <alignment horizontal="center"/>
    </xf>
    <xf numFmtId="171" fontId="40" fillId="7" borderId="57" xfId="0" applyNumberFormat="1" applyFont="1" applyFill="1" applyBorder="1" applyAlignment="1">
      <alignment horizontal="right"/>
    </xf>
    <xf numFmtId="172" fontId="40" fillId="7" borderId="61" xfId="0" applyNumberFormat="1" applyFont="1" applyFill="1" applyBorder="1"/>
    <xf numFmtId="0" fontId="33" fillId="7" borderId="14" xfId="0" applyFont="1" applyFill="1" applyBorder="1" applyAlignment="1">
      <alignment horizontal="center" vertical="center"/>
    </xf>
    <xf numFmtId="9" fontId="33" fillId="7" borderId="14" xfId="139" applyFont="1" applyFill="1" applyBorder="1" applyAlignment="1">
      <alignment horizontal="center" vertical="center"/>
    </xf>
    <xf numFmtId="0" fontId="1" fillId="0" borderId="14" xfId="0" applyFont="1" applyBorder="1" applyAlignment="1">
      <alignment horizontal="center"/>
    </xf>
    <xf numFmtId="9" fontId="1" fillId="8" borderId="14" xfId="139" applyFont="1" applyFill="1" applyBorder="1" applyAlignment="1">
      <alignment horizontal="center"/>
    </xf>
    <xf numFmtId="9" fontId="33" fillId="7" borderId="14" xfId="0" applyNumberFormat="1" applyFont="1" applyFill="1" applyBorder="1" applyAlignment="1">
      <alignment horizontal="center" vertical="center"/>
    </xf>
    <xf numFmtId="0" fontId="35" fillId="2" borderId="0" xfId="0" applyFont="1" applyFill="1"/>
    <xf numFmtId="0" fontId="41" fillId="0" borderId="0" xfId="0" applyFont="1"/>
    <xf numFmtId="0" fontId="2" fillId="2" borderId="4" xfId="0" applyFont="1" applyFill="1" applyBorder="1" applyAlignment="1">
      <alignment vertical="center"/>
    </xf>
    <xf numFmtId="9" fontId="33" fillId="5" borderId="14" xfId="139" applyFont="1" applyFill="1" applyBorder="1" applyAlignment="1">
      <alignment horizontal="center"/>
    </xf>
    <xf numFmtId="164" fontId="14" fillId="8" borderId="3" xfId="138" applyFont="1" applyFill="1" applyBorder="1" applyAlignment="1">
      <alignment horizontal="right"/>
    </xf>
    <xf numFmtId="164" fontId="14" fillId="0" borderId="3" xfId="138" applyFont="1" applyBorder="1" applyAlignment="1">
      <alignment horizontal="right"/>
    </xf>
    <xf numFmtId="1" fontId="39" fillId="8" borderId="34" xfId="0" applyNumberFormat="1" applyFont="1" applyFill="1" applyBorder="1" applyAlignment="1">
      <alignment horizontal="center"/>
    </xf>
    <xf numFmtId="0" fontId="26" fillId="8" borderId="1" xfId="0" applyFont="1" applyFill="1" applyBorder="1"/>
    <xf numFmtId="1" fontId="26" fillId="8" borderId="1" xfId="0" applyNumberFormat="1" applyFont="1" applyFill="1" applyBorder="1"/>
    <xf numFmtId="9" fontId="26" fillId="8" borderId="15" xfId="0" applyNumberFormat="1" applyFont="1" applyFill="1" applyBorder="1" applyAlignment="1">
      <alignment horizontal="right"/>
    </xf>
    <xf numFmtId="168" fontId="26" fillId="8" borderId="57" xfId="0" applyNumberFormat="1" applyFont="1" applyFill="1" applyBorder="1"/>
    <xf numFmtId="9" fontId="26" fillId="8" borderId="57" xfId="139" applyFont="1" applyFill="1" applyBorder="1" applyAlignment="1">
      <alignment horizontal="center"/>
    </xf>
    <xf numFmtId="164" fontId="16" fillId="0" borderId="0" xfId="138" applyFont="1"/>
    <xf numFmtId="176" fontId="27" fillId="2" borderId="0" xfId="0" applyNumberFormat="1" applyFont="1" applyFill="1" applyAlignment="1">
      <alignment horizontal="left"/>
    </xf>
    <xf numFmtId="1" fontId="32" fillId="9" borderId="3" xfId="0" applyNumberFormat="1" applyFont="1" applyFill="1" applyBorder="1" applyAlignment="1">
      <alignment horizontal="center"/>
    </xf>
    <xf numFmtId="168" fontId="26" fillId="9" borderId="3" xfId="0" applyNumberFormat="1" applyFont="1" applyFill="1" applyBorder="1"/>
    <xf numFmtId="0" fontId="42" fillId="9" borderId="68" xfId="0" applyFont="1" applyFill="1" applyBorder="1" applyAlignment="1">
      <alignment horizontal="center"/>
    </xf>
    <xf numFmtId="9" fontId="44" fillId="7" borderId="14" xfId="139" applyFont="1" applyFill="1" applyBorder="1" applyAlignment="1">
      <alignment horizontal="center"/>
    </xf>
    <xf numFmtId="168" fontId="14" fillId="2" borderId="72" xfId="0" applyNumberFormat="1" applyFont="1" applyFill="1" applyBorder="1"/>
    <xf numFmtId="176" fontId="2" fillId="2" borderId="0" xfId="0" applyNumberFormat="1" applyFont="1" applyFill="1"/>
    <xf numFmtId="176" fontId="2" fillId="2" borderId="26" xfId="0" applyNumberFormat="1" applyFont="1" applyFill="1" applyBorder="1"/>
    <xf numFmtId="176" fontId="14" fillId="2" borderId="32" xfId="0" applyNumberFormat="1" applyFont="1" applyFill="1" applyBorder="1"/>
    <xf numFmtId="176" fontId="14" fillId="2" borderId="1" xfId="0" applyNumberFormat="1" applyFont="1" applyFill="1" applyBorder="1"/>
    <xf numFmtId="176" fontId="22" fillId="2" borderId="32" xfId="0" applyNumberFormat="1" applyFont="1" applyFill="1" applyBorder="1"/>
    <xf numFmtId="176" fontId="22" fillId="2" borderId="0" xfId="0" applyNumberFormat="1" applyFont="1" applyFill="1"/>
    <xf numFmtId="176" fontId="24" fillId="2" borderId="0" xfId="0" applyNumberFormat="1" applyFont="1" applyFill="1"/>
    <xf numFmtId="176" fontId="22" fillId="2" borderId="1" xfId="0" applyNumberFormat="1" applyFont="1" applyFill="1" applyBorder="1"/>
    <xf numFmtId="176" fontId="22" fillId="2" borderId="8" xfId="0" applyNumberFormat="1" applyFont="1" applyFill="1" applyBorder="1"/>
    <xf numFmtId="176" fontId="14" fillId="2" borderId="32" xfId="0" applyNumberFormat="1" applyFont="1" applyFill="1" applyBorder="1" applyAlignment="1">
      <alignment horizontal="center"/>
    </xf>
    <xf numFmtId="176" fontId="14" fillId="2" borderId="1" xfId="0" applyNumberFormat="1" applyFont="1" applyFill="1" applyBorder="1" applyAlignment="1">
      <alignment horizontal="center"/>
    </xf>
    <xf numFmtId="176" fontId="40" fillId="7" borderId="1" xfId="0" applyNumberFormat="1" applyFont="1" applyFill="1" applyBorder="1" applyAlignment="1">
      <alignment horizontal="center"/>
    </xf>
    <xf numFmtId="176" fontId="26" fillId="8" borderId="1" xfId="0" applyNumberFormat="1" applyFont="1" applyFill="1" applyBorder="1" applyAlignment="1">
      <alignment horizontal="center"/>
    </xf>
    <xf numFmtId="176" fontId="3" fillId="2" borderId="8" xfId="0" applyNumberFormat="1" applyFont="1" applyFill="1" applyBorder="1" applyAlignment="1">
      <alignment horizontal="center"/>
    </xf>
    <xf numFmtId="176" fontId="22" fillId="2" borderId="32" xfId="0" applyNumberFormat="1" applyFont="1" applyFill="1" applyBorder="1" applyAlignment="1">
      <alignment horizontal="center"/>
    </xf>
    <xf numFmtId="176" fontId="14" fillId="2" borderId="0" xfId="0" applyNumberFormat="1" applyFont="1" applyFill="1"/>
    <xf numFmtId="176" fontId="14" fillId="2" borderId="26" xfId="0" applyNumberFormat="1" applyFont="1" applyFill="1" applyBorder="1"/>
    <xf numFmtId="176" fontId="16" fillId="0" borderId="0" xfId="0" applyNumberFormat="1" applyFont="1"/>
    <xf numFmtId="168" fontId="14" fillId="2" borderId="71" xfId="0" applyNumberFormat="1" applyFont="1" applyFill="1" applyBorder="1"/>
    <xf numFmtId="168" fontId="14" fillId="2" borderId="73" xfId="0" applyNumberFormat="1" applyFont="1" applyFill="1" applyBorder="1"/>
    <xf numFmtId="168" fontId="14" fillId="2" borderId="74" xfId="0" applyNumberFormat="1" applyFont="1" applyFill="1" applyBorder="1" applyAlignment="1">
      <alignment horizontal="right"/>
    </xf>
    <xf numFmtId="169" fontId="14" fillId="2" borderId="0" xfId="0" applyNumberFormat="1" applyFont="1" applyFill="1" applyAlignment="1">
      <alignment horizontal="center"/>
    </xf>
    <xf numFmtId="176" fontId="14" fillId="2" borderId="0" xfId="0" applyNumberFormat="1" applyFont="1" applyFill="1" applyAlignment="1">
      <alignment horizontal="center"/>
    </xf>
    <xf numFmtId="169" fontId="14" fillId="2" borderId="2" xfId="0" applyNumberFormat="1" applyFont="1" applyFill="1" applyBorder="1" applyAlignment="1">
      <alignment horizontal="center"/>
    </xf>
    <xf numFmtId="169" fontId="14" fillId="2" borderId="2" xfId="0" applyNumberFormat="1" applyFont="1" applyFill="1" applyBorder="1" applyAlignment="1">
      <alignment horizontal="right"/>
    </xf>
    <xf numFmtId="0" fontId="3" fillId="2" borderId="69" xfId="0" applyFont="1" applyFill="1" applyBorder="1" applyAlignment="1">
      <alignment horizontal="center"/>
    </xf>
    <xf numFmtId="168" fontId="14" fillId="2" borderId="75" xfId="0" applyNumberFormat="1" applyFont="1" applyFill="1" applyBorder="1"/>
    <xf numFmtId="176" fontId="3" fillId="2" borderId="69" xfId="0" applyNumberFormat="1" applyFont="1" applyFill="1" applyBorder="1" applyAlignment="1">
      <alignment horizontal="center"/>
    </xf>
    <xf numFmtId="176" fontId="14" fillId="2" borderId="75" xfId="0" applyNumberFormat="1" applyFont="1" applyFill="1" applyBorder="1"/>
    <xf numFmtId="168" fontId="14" fillId="2" borderId="70" xfId="0" applyNumberFormat="1" applyFont="1" applyFill="1" applyBorder="1" applyAlignment="1">
      <alignment horizontal="center"/>
    </xf>
    <xf numFmtId="0" fontId="32" fillId="8" borderId="70" xfId="145" applyFill="1" applyBorder="1" applyAlignment="1">
      <alignment horizontal="center" vertical="center"/>
    </xf>
    <xf numFmtId="177" fontId="14" fillId="2" borderId="70" xfId="0" applyNumberFormat="1" applyFont="1" applyFill="1" applyBorder="1" applyAlignment="1">
      <alignment horizontal="center"/>
    </xf>
    <xf numFmtId="168" fontId="14" fillId="2" borderId="75" xfId="0" applyNumberFormat="1" applyFont="1" applyFill="1" applyBorder="1" applyAlignment="1">
      <alignment horizontal="center"/>
    </xf>
    <xf numFmtId="168" fontId="14" fillId="2" borderId="71" xfId="0" applyNumberFormat="1" applyFont="1" applyFill="1" applyBorder="1" applyAlignment="1">
      <alignment wrapText="1"/>
    </xf>
    <xf numFmtId="1" fontId="14" fillId="9" borderId="68" xfId="0" applyNumberFormat="1" applyFont="1" applyFill="1" applyBorder="1"/>
    <xf numFmtId="177" fontId="14" fillId="2" borderId="70" xfId="0" applyNumberFormat="1" applyFont="1" applyFill="1" applyBorder="1" applyAlignment="1">
      <alignment horizontal="center" vertical="center"/>
    </xf>
    <xf numFmtId="168" fontId="14" fillId="2" borderId="71" xfId="0" applyNumberFormat="1" applyFont="1" applyFill="1" applyBorder="1" applyAlignment="1">
      <alignment vertical="center" wrapText="1"/>
    </xf>
    <xf numFmtId="0" fontId="14" fillId="2" borderId="70" xfId="0" applyFont="1" applyFill="1" applyBorder="1" applyAlignment="1">
      <alignment horizontal="center" vertical="center"/>
    </xf>
    <xf numFmtId="164" fontId="14" fillId="2" borderId="70" xfId="138" applyFont="1" applyFill="1" applyBorder="1" applyAlignment="1">
      <alignment horizontal="center" vertical="center"/>
    </xf>
    <xf numFmtId="168" fontId="14" fillId="2" borderId="73" xfId="0" applyNumberFormat="1" applyFont="1" applyFill="1" applyBorder="1" applyAlignment="1">
      <alignment vertical="center"/>
    </xf>
    <xf numFmtId="9" fontId="14" fillId="2" borderId="2" xfId="0" applyNumberFormat="1" applyFont="1" applyFill="1" applyBorder="1" applyAlignment="1">
      <alignment horizontal="center" vertical="center"/>
    </xf>
    <xf numFmtId="168" fontId="14" fillId="2" borderId="4" xfId="0" applyNumberFormat="1" applyFont="1" applyFill="1" applyBorder="1" applyAlignment="1">
      <alignment vertical="center"/>
    </xf>
    <xf numFmtId="9" fontId="14" fillId="2" borderId="4" xfId="0" applyNumberFormat="1" applyFont="1" applyFill="1" applyBorder="1" applyAlignment="1">
      <alignment horizontal="center" vertical="center"/>
    </xf>
    <xf numFmtId="168" fontId="14" fillId="2" borderId="60" xfId="0" applyNumberFormat="1" applyFont="1" applyFill="1" applyBorder="1" applyAlignment="1">
      <alignment vertical="center"/>
    </xf>
    <xf numFmtId="1" fontId="32" fillId="8" borderId="3" xfId="0" applyNumberFormat="1" applyFont="1" applyFill="1" applyBorder="1" applyAlignment="1">
      <alignment horizontal="center"/>
    </xf>
    <xf numFmtId="1" fontId="26" fillId="8" borderId="3" xfId="0" applyNumberFormat="1" applyFont="1" applyFill="1" applyBorder="1" applyAlignment="1">
      <alignment horizontal="center"/>
    </xf>
    <xf numFmtId="0" fontId="42" fillId="8" borderId="68" xfId="0" applyFont="1" applyFill="1" applyBorder="1" applyAlignment="1">
      <alignment horizontal="center"/>
    </xf>
    <xf numFmtId="168" fontId="3" fillId="2" borderId="71" xfId="0" applyNumberFormat="1" applyFont="1" applyFill="1" applyBorder="1"/>
    <xf numFmtId="168" fontId="14" fillId="2" borderId="69" xfId="0" applyNumberFormat="1" applyFont="1" applyFill="1" applyBorder="1" applyAlignment="1">
      <alignment horizontal="center"/>
    </xf>
    <xf numFmtId="0" fontId="32" fillId="8" borderId="69" xfId="145" applyFill="1" applyBorder="1" applyAlignment="1">
      <alignment horizontal="center" vertical="center"/>
    </xf>
    <xf numFmtId="168" fontId="14" fillId="2" borderId="69" xfId="0" applyNumberFormat="1" applyFont="1" applyFill="1" applyBorder="1"/>
    <xf numFmtId="168" fontId="45" fillId="2" borderId="71" xfId="0" applyNumberFormat="1" applyFont="1" applyFill="1" applyBorder="1"/>
    <xf numFmtId="0" fontId="46" fillId="8" borderId="70" xfId="145" applyFont="1" applyFill="1" applyBorder="1" applyAlignment="1">
      <alignment horizontal="center" vertical="center"/>
    </xf>
    <xf numFmtId="168" fontId="45" fillId="2" borderId="70" xfId="0" applyNumberFormat="1" applyFont="1" applyFill="1" applyBorder="1"/>
    <xf numFmtId="168" fontId="45" fillId="2" borderId="73" xfId="0" applyNumberFormat="1" applyFont="1" applyFill="1" applyBorder="1"/>
    <xf numFmtId="1" fontId="14" fillId="9" borderId="68" xfId="0" applyNumberFormat="1" applyFont="1" applyFill="1" applyBorder="1" applyAlignment="1">
      <alignment horizontal="center"/>
    </xf>
    <xf numFmtId="169" fontId="14" fillId="2" borderId="5" xfId="0" applyNumberFormat="1" applyFont="1" applyFill="1" applyBorder="1" applyAlignment="1">
      <alignment horizontal="center"/>
    </xf>
    <xf numFmtId="0" fontId="14" fillId="2" borderId="0" xfId="0" applyFont="1" applyFill="1"/>
    <xf numFmtId="168" fontId="14" fillId="2" borderId="77" xfId="0" applyNumberFormat="1" applyFont="1" applyFill="1" applyBorder="1"/>
    <xf numFmtId="168" fontId="14" fillId="2" borderId="78" xfId="0" applyNumberFormat="1" applyFont="1" applyFill="1" applyBorder="1"/>
    <xf numFmtId="177" fontId="14" fillId="2" borderId="71" xfId="0" applyNumberFormat="1" applyFont="1" applyFill="1" applyBorder="1" applyAlignment="1">
      <alignment horizontal="center" vertical="center"/>
    </xf>
    <xf numFmtId="177" fontId="14" fillId="2" borderId="71" xfId="0" applyNumberFormat="1" applyFont="1" applyFill="1" applyBorder="1" applyAlignment="1">
      <alignment horizontal="center"/>
    </xf>
    <xf numFmtId="168" fontId="14" fillId="2" borderId="0" xfId="0" applyNumberFormat="1" applyFont="1" applyFill="1" applyAlignment="1">
      <alignment horizontal="center"/>
    </xf>
    <xf numFmtId="0" fontId="32" fillId="8" borderId="0" xfId="145" applyFill="1" applyAlignment="1">
      <alignment horizontal="center" vertical="center"/>
    </xf>
    <xf numFmtId="0" fontId="46" fillId="8" borderId="0" xfId="145" applyFont="1" applyFill="1" applyAlignment="1">
      <alignment horizontal="center" vertical="center"/>
    </xf>
    <xf numFmtId="0" fontId="32" fillId="8" borderId="79" xfId="145" applyFill="1" applyBorder="1" applyAlignment="1">
      <alignment horizontal="center" vertical="center"/>
    </xf>
    <xf numFmtId="168" fontId="14" fillId="2" borderId="80" xfId="0" applyNumberFormat="1" applyFont="1" applyFill="1" applyBorder="1" applyAlignment="1">
      <alignment horizontal="center"/>
    </xf>
    <xf numFmtId="176" fontId="14" fillId="2" borderId="80" xfId="0" applyNumberFormat="1" applyFont="1" applyFill="1" applyBorder="1"/>
    <xf numFmtId="168" fontId="14" fillId="8" borderId="76" xfId="0" applyNumberFormat="1" applyFont="1" applyFill="1" applyBorder="1"/>
    <xf numFmtId="168" fontId="14" fillId="8" borderId="69" xfId="0" applyNumberFormat="1" applyFont="1" applyFill="1" applyBorder="1" applyAlignment="1">
      <alignment horizontal="center"/>
    </xf>
    <xf numFmtId="168" fontId="14" fillId="8" borderId="69" xfId="0" applyNumberFormat="1" applyFont="1" applyFill="1" applyBorder="1"/>
    <xf numFmtId="168" fontId="14" fillId="8" borderId="74" xfId="0" applyNumberFormat="1" applyFont="1" applyFill="1" applyBorder="1" applyAlignment="1">
      <alignment vertical="center"/>
    </xf>
    <xf numFmtId="0" fontId="47" fillId="8" borderId="71" xfId="0" applyFont="1" applyFill="1" applyBorder="1" applyAlignment="1">
      <alignment vertical="center" wrapText="1"/>
    </xf>
    <xf numFmtId="168" fontId="14" fillId="8" borderId="70" xfId="0" applyNumberFormat="1" applyFont="1" applyFill="1" applyBorder="1" applyAlignment="1">
      <alignment horizontal="center"/>
    </xf>
    <xf numFmtId="0" fontId="0" fillId="8" borderId="0" xfId="0" applyFill="1" applyAlignment="1">
      <alignment horizontal="center" vertical="center"/>
    </xf>
    <xf numFmtId="164" fontId="0" fillId="8" borderId="70" xfId="138" applyFont="1" applyFill="1" applyBorder="1" applyAlignment="1">
      <alignment horizontal="center" vertical="center"/>
    </xf>
    <xf numFmtId="168" fontId="14" fillId="8" borderId="73" xfId="0" applyNumberFormat="1" applyFont="1" applyFill="1" applyBorder="1" applyAlignment="1">
      <alignment vertical="center"/>
    </xf>
    <xf numFmtId="0" fontId="48" fillId="8" borderId="71" xfId="0" applyFont="1" applyFill="1" applyBorder="1" applyAlignment="1">
      <alignment vertical="center"/>
    </xf>
    <xf numFmtId="164" fontId="0" fillId="8" borderId="70" xfId="138" applyFont="1" applyFill="1" applyBorder="1" applyAlignment="1">
      <alignment vertical="center"/>
    </xf>
    <xf numFmtId="168" fontId="14" fillId="8" borderId="71" xfId="0" applyNumberFormat="1" applyFont="1" applyFill="1" applyBorder="1"/>
    <xf numFmtId="168" fontId="14" fillId="8" borderId="70" xfId="0" applyNumberFormat="1" applyFont="1" applyFill="1" applyBorder="1"/>
    <xf numFmtId="168" fontId="14" fillId="8" borderId="73" xfId="0" applyNumberFormat="1" applyFont="1" applyFill="1" applyBorder="1"/>
    <xf numFmtId="168" fontId="45" fillId="8" borderId="71" xfId="0" applyNumberFormat="1" applyFont="1" applyFill="1" applyBorder="1"/>
    <xf numFmtId="168" fontId="45" fillId="8" borderId="70" xfId="0" applyNumberFormat="1" applyFont="1" applyFill="1" applyBorder="1"/>
    <xf numFmtId="168" fontId="45" fillId="8" borderId="73" xfId="0" applyNumberFormat="1" applyFont="1" applyFill="1" applyBorder="1"/>
    <xf numFmtId="168" fontId="45" fillId="8" borderId="70" xfId="0" applyNumberFormat="1" applyFont="1" applyFill="1" applyBorder="1" applyAlignment="1">
      <alignment horizontal="center"/>
    </xf>
    <xf numFmtId="168" fontId="45" fillId="8" borderId="73" xfId="0" applyNumberFormat="1" applyFont="1" applyFill="1" applyBorder="1" applyAlignment="1">
      <alignment vertical="center"/>
    </xf>
    <xf numFmtId="0" fontId="47" fillId="8" borderId="70" xfId="0" applyFont="1" applyFill="1" applyBorder="1" applyAlignment="1">
      <alignment vertical="center" wrapText="1"/>
    </xf>
    <xf numFmtId="0" fontId="48" fillId="8" borderId="70" xfId="0" applyFont="1" applyFill="1" applyBorder="1" applyAlignment="1">
      <alignment vertical="center"/>
    </xf>
    <xf numFmtId="0" fontId="0" fillId="8" borderId="70" xfId="0" applyFill="1" applyBorder="1" applyAlignment="1">
      <alignment vertical="center" wrapText="1"/>
    </xf>
    <xf numFmtId="0" fontId="0" fillId="8" borderId="70" xfId="0" quotePrefix="1" applyFill="1" applyBorder="1" applyAlignment="1">
      <alignment vertical="center" wrapText="1"/>
    </xf>
    <xf numFmtId="168" fontId="14" fillId="8" borderId="79" xfId="0" applyNumberFormat="1" applyFont="1" applyFill="1" applyBorder="1" applyAlignment="1">
      <alignment horizontal="center"/>
    </xf>
    <xf numFmtId="168" fontId="14" fillId="8" borderId="0" xfId="0" applyNumberFormat="1" applyFont="1" applyFill="1" applyAlignment="1">
      <alignment horizontal="center"/>
    </xf>
    <xf numFmtId="168" fontId="45" fillId="8" borderId="0" xfId="0" applyNumberFormat="1" applyFont="1" applyFill="1" applyAlignment="1">
      <alignment horizontal="center"/>
    </xf>
    <xf numFmtId="0" fontId="0" fillId="8" borderId="70" xfId="0" applyFill="1" applyBorder="1" applyAlignment="1">
      <alignment horizontal="center" vertical="center"/>
    </xf>
    <xf numFmtId="164" fontId="0" fillId="8" borderId="70" xfId="138" applyFont="1" applyFill="1" applyBorder="1" applyAlignment="1">
      <alignment horizontal="center"/>
    </xf>
    <xf numFmtId="168" fontId="14" fillId="8" borderId="75" xfId="0" applyNumberFormat="1" applyFont="1" applyFill="1" applyBorder="1"/>
    <xf numFmtId="178" fontId="0" fillId="8" borderId="70" xfId="138" applyNumberFormat="1" applyFont="1" applyFill="1" applyBorder="1" applyAlignment="1">
      <alignment horizontal="right"/>
    </xf>
    <xf numFmtId="178" fontId="0" fillId="8" borderId="70" xfId="0" applyNumberFormat="1" applyFill="1" applyBorder="1" applyAlignment="1">
      <alignment horizontal="right"/>
    </xf>
    <xf numFmtId="1" fontId="32" fillId="10" borderId="3" xfId="0" applyNumberFormat="1" applyFont="1" applyFill="1" applyBorder="1" applyAlignment="1">
      <alignment horizontal="center"/>
    </xf>
    <xf numFmtId="1" fontId="14" fillId="10" borderId="3" xfId="0" applyNumberFormat="1" applyFont="1" applyFill="1" applyBorder="1"/>
    <xf numFmtId="1" fontId="14" fillId="10" borderId="3" xfId="0" applyNumberFormat="1" applyFont="1" applyFill="1" applyBorder="1" applyAlignment="1">
      <alignment horizontal="center"/>
    </xf>
    <xf numFmtId="1" fontId="14" fillId="10" borderId="68" xfId="0" applyNumberFormat="1" applyFont="1" applyFill="1" applyBorder="1" applyAlignment="1">
      <alignment horizontal="center"/>
    </xf>
    <xf numFmtId="168" fontId="26" fillId="10" borderId="3" xfId="0" applyNumberFormat="1" applyFont="1" applyFill="1" applyBorder="1"/>
    <xf numFmtId="0" fontId="42" fillId="10" borderId="68" xfId="0" applyFont="1" applyFill="1" applyBorder="1" applyAlignment="1">
      <alignment horizontal="center"/>
    </xf>
    <xf numFmtId="1" fontId="26" fillId="8" borderId="68" xfId="0" applyNumberFormat="1" applyFont="1" applyFill="1" applyBorder="1" applyAlignment="1">
      <alignment horizontal="center"/>
    </xf>
    <xf numFmtId="9" fontId="45" fillId="2" borderId="2" xfId="0" applyNumberFormat="1" applyFont="1" applyFill="1" applyBorder="1" applyAlignment="1">
      <alignment horizontal="center" vertical="center"/>
    </xf>
    <xf numFmtId="168" fontId="45" fillId="2" borderId="4" xfId="0" applyNumberFormat="1" applyFont="1" applyFill="1" applyBorder="1" applyAlignment="1">
      <alignment vertical="center"/>
    </xf>
    <xf numFmtId="9" fontId="45" fillId="2" borderId="4" xfId="0" applyNumberFormat="1" applyFont="1" applyFill="1" applyBorder="1" applyAlignment="1">
      <alignment horizontal="center" vertical="center"/>
    </xf>
    <xf numFmtId="168" fontId="45" fillId="2" borderId="60" xfId="0" applyNumberFormat="1" applyFont="1" applyFill="1" applyBorder="1" applyAlignment="1">
      <alignment vertical="center"/>
    </xf>
    <xf numFmtId="0" fontId="37" fillId="10" borderId="14" xfId="0" applyFont="1" applyFill="1" applyBorder="1" applyAlignment="1">
      <alignment horizontal="center"/>
    </xf>
    <xf numFmtId="168" fontId="14" fillId="10" borderId="2" xfId="0" applyNumberFormat="1" applyFont="1" applyFill="1" applyBorder="1"/>
    <xf numFmtId="168" fontId="33" fillId="10" borderId="3" xfId="0" applyNumberFormat="1" applyFont="1" applyFill="1" applyBorder="1" applyAlignment="1">
      <alignment horizontal="center"/>
    </xf>
    <xf numFmtId="0" fontId="2" fillId="10" borderId="4" xfId="0" applyFont="1" applyFill="1" applyBorder="1"/>
    <xf numFmtId="168" fontId="14" fillId="10" borderId="3" xfId="0" applyNumberFormat="1" applyFont="1" applyFill="1" applyBorder="1"/>
    <xf numFmtId="164" fontId="14" fillId="10" borderId="3" xfId="138" applyFont="1" applyFill="1" applyBorder="1" applyAlignment="1">
      <alignment horizontal="right"/>
    </xf>
    <xf numFmtId="9" fontId="0" fillId="10" borderId="14" xfId="139" applyFont="1" applyFill="1" applyBorder="1" applyAlignment="1">
      <alignment horizontal="center"/>
    </xf>
    <xf numFmtId="168" fontId="45" fillId="2" borderId="70" xfId="0" applyNumberFormat="1" applyFont="1" applyFill="1" applyBorder="1" applyAlignment="1">
      <alignment horizontal="center"/>
    </xf>
    <xf numFmtId="1" fontId="16" fillId="10" borderId="3" xfId="0" applyNumberFormat="1" applyFont="1" applyFill="1" applyBorder="1" applyAlignment="1">
      <alignment horizontal="center"/>
    </xf>
    <xf numFmtId="1" fontId="14" fillId="10" borderId="68" xfId="0" applyNumberFormat="1" applyFont="1" applyFill="1" applyBorder="1"/>
    <xf numFmtId="1" fontId="14" fillId="10" borderId="68" xfId="0" applyNumberFormat="1" applyFont="1" applyFill="1" applyBorder="1" applyAlignment="1">
      <alignment horizontal="center" vertical="center"/>
    </xf>
    <xf numFmtId="0" fontId="19" fillId="10" borderId="68" xfId="0" applyFont="1" applyFill="1" applyBorder="1" applyAlignment="1">
      <alignment horizontal="center"/>
    </xf>
    <xf numFmtId="1" fontId="26" fillId="9" borderId="3" xfId="0" applyNumberFormat="1" applyFont="1" applyFill="1" applyBorder="1" applyAlignment="1">
      <alignment horizontal="center"/>
    </xf>
    <xf numFmtId="168" fontId="14" fillId="8" borderId="0" xfId="0" applyNumberFormat="1" applyFont="1" applyFill="1" applyAlignment="1">
      <alignment horizontal="center" vertical="center"/>
    </xf>
    <xf numFmtId="178" fontId="0" fillId="8" borderId="70" xfId="138" applyNumberFormat="1" applyFont="1" applyFill="1" applyBorder="1" applyAlignment="1">
      <alignment horizontal="right" vertical="center"/>
    </xf>
    <xf numFmtId="178" fontId="0" fillId="8" borderId="70" xfId="0" applyNumberFormat="1" applyFill="1" applyBorder="1" applyAlignment="1">
      <alignment horizontal="right" vertical="center"/>
    </xf>
    <xf numFmtId="177" fontId="45" fillId="2" borderId="70" xfId="0" applyNumberFormat="1" applyFont="1" applyFill="1" applyBorder="1" applyAlignment="1">
      <alignment horizontal="center"/>
    </xf>
    <xf numFmtId="168" fontId="45" fillId="2" borderId="71" xfId="0" applyNumberFormat="1" applyFont="1" applyFill="1" applyBorder="1" applyAlignment="1">
      <alignment wrapText="1"/>
    </xf>
    <xf numFmtId="168" fontId="45" fillId="2" borderId="73" xfId="0" applyNumberFormat="1" applyFont="1" applyFill="1" applyBorder="1" applyAlignment="1">
      <alignment vertical="center"/>
    </xf>
    <xf numFmtId="1" fontId="5" fillId="6" borderId="9" xfId="0" applyNumberFormat="1" applyFont="1" applyFill="1" applyBorder="1" applyAlignment="1">
      <alignment horizontal="center"/>
    </xf>
    <xf numFmtId="1" fontId="5" fillId="6" borderId="7" xfId="0" applyNumberFormat="1" applyFont="1" applyFill="1" applyBorder="1" applyAlignment="1">
      <alignment horizontal="center"/>
    </xf>
    <xf numFmtId="1" fontId="5" fillId="6" borderId="10" xfId="0" applyNumberFormat="1" applyFont="1" applyFill="1" applyBorder="1" applyAlignment="1">
      <alignment horizontal="center"/>
    </xf>
    <xf numFmtId="0" fontId="34" fillId="2" borderId="11" xfId="0" applyFont="1" applyFill="1" applyBorder="1" applyAlignment="1">
      <alignment horizontal="center"/>
    </xf>
    <xf numFmtId="1" fontId="34" fillId="2" borderId="12" xfId="0" applyNumberFormat="1" applyFont="1" applyFill="1" applyBorder="1" applyAlignment="1">
      <alignment horizontal="center"/>
    </xf>
    <xf numFmtId="1" fontId="34" fillId="2" borderId="13" xfId="0" applyNumberFormat="1" applyFont="1" applyFill="1" applyBorder="1" applyAlignment="1">
      <alignment horizontal="center"/>
    </xf>
    <xf numFmtId="0" fontId="3" fillId="4" borderId="16" xfId="0" applyFont="1" applyFill="1" applyBorder="1" applyAlignment="1">
      <alignment horizontal="center"/>
    </xf>
    <xf numFmtId="1" fontId="4" fillId="3" borderId="17" xfId="0" applyNumberFormat="1" applyFont="1" applyFill="1" applyBorder="1" applyAlignment="1">
      <alignment horizontal="center"/>
    </xf>
    <xf numFmtId="0" fontId="7" fillId="2" borderId="1" xfId="0" applyFont="1" applyFill="1" applyBorder="1" applyAlignment="1">
      <alignment horizontal="left"/>
    </xf>
    <xf numFmtId="0" fontId="7" fillId="2" borderId="8" xfId="0" applyFont="1" applyFill="1" applyBorder="1" applyAlignment="1">
      <alignment horizontal="left" wrapText="1"/>
    </xf>
    <xf numFmtId="0" fontId="0" fillId="0" borderId="8" xfId="0" applyBorder="1" applyAlignment="1">
      <alignment horizontal="left" wrapText="1"/>
    </xf>
    <xf numFmtId="174" fontId="22" fillId="2" borderId="63" xfId="0" applyNumberFormat="1" applyFont="1" applyFill="1" applyBorder="1" applyAlignment="1">
      <alignment horizontal="center" vertical="center"/>
    </xf>
    <xf numFmtId="174" fontId="22" fillId="2" borderId="49" xfId="0" applyNumberFormat="1" applyFont="1" applyFill="1" applyBorder="1" applyAlignment="1">
      <alignment horizontal="center" vertical="center"/>
    </xf>
    <xf numFmtId="174" fontId="22" fillId="2" borderId="64" xfId="0" applyNumberFormat="1" applyFont="1" applyFill="1" applyBorder="1" applyAlignment="1">
      <alignment horizontal="center" vertical="center"/>
    </xf>
    <xf numFmtId="171" fontId="22" fillId="2" borderId="63" xfId="0" applyNumberFormat="1" applyFont="1" applyFill="1" applyBorder="1" applyAlignment="1">
      <alignment horizontal="center" vertical="center"/>
    </xf>
    <xf numFmtId="171" fontId="22" fillId="2" borderId="49" xfId="0" applyNumberFormat="1" applyFont="1" applyFill="1" applyBorder="1" applyAlignment="1">
      <alignment horizontal="center" vertical="center"/>
    </xf>
    <xf numFmtId="171" fontId="22" fillId="2" borderId="64" xfId="0" applyNumberFormat="1" applyFont="1" applyFill="1" applyBorder="1" applyAlignment="1">
      <alignment horizontal="center" vertical="center"/>
    </xf>
    <xf numFmtId="174" fontId="22" fillId="2" borderId="11" xfId="0" applyNumberFormat="1" applyFont="1" applyFill="1" applyBorder="1" applyAlignment="1">
      <alignment horizontal="center" vertical="center"/>
    </xf>
    <xf numFmtId="174" fontId="22" fillId="2" borderId="12" xfId="0" applyNumberFormat="1" applyFont="1" applyFill="1" applyBorder="1" applyAlignment="1">
      <alignment horizontal="center" vertical="center"/>
    </xf>
    <xf numFmtId="174" fontId="22" fillId="2" borderId="13" xfId="0" applyNumberFormat="1" applyFont="1" applyFill="1" applyBorder="1" applyAlignment="1">
      <alignment horizontal="center" vertical="center"/>
    </xf>
    <xf numFmtId="0" fontId="22" fillId="2" borderId="11" xfId="0" applyFont="1" applyFill="1" applyBorder="1" applyAlignment="1">
      <alignment horizontal="center" vertical="center"/>
    </xf>
    <xf numFmtId="171" fontId="22" fillId="2" borderId="12" xfId="0" applyNumberFormat="1" applyFont="1" applyFill="1" applyBorder="1" applyAlignment="1">
      <alignment horizontal="center" vertical="center"/>
    </xf>
    <xf numFmtId="171" fontId="22" fillId="2" borderId="65" xfId="0" applyNumberFormat="1" applyFont="1" applyFill="1" applyBorder="1" applyAlignment="1">
      <alignment horizontal="center" vertical="center"/>
    </xf>
    <xf numFmtId="0" fontId="21" fillId="2" borderId="28" xfId="0" applyFont="1" applyFill="1" applyBorder="1" applyAlignment="1">
      <alignment horizontal="center" vertical="center"/>
    </xf>
    <xf numFmtId="1" fontId="21" fillId="2" borderId="29" xfId="0" applyNumberFormat="1" applyFont="1" applyFill="1" applyBorder="1" applyAlignment="1">
      <alignment horizontal="center" vertical="center"/>
    </xf>
    <xf numFmtId="1" fontId="21" fillId="2" borderId="30" xfId="0" applyNumberFormat="1" applyFont="1" applyFill="1" applyBorder="1" applyAlignment="1">
      <alignment horizontal="center" vertical="center"/>
    </xf>
    <xf numFmtId="1" fontId="22" fillId="6" borderId="37" xfId="0" applyNumberFormat="1" applyFont="1" applyFill="1" applyBorder="1" applyAlignment="1">
      <alignment horizontal="center"/>
    </xf>
    <xf numFmtId="1" fontId="22" fillId="6" borderId="7" xfId="0" applyNumberFormat="1" applyFont="1" applyFill="1" applyBorder="1" applyAlignment="1">
      <alignment horizontal="center"/>
    </xf>
    <xf numFmtId="1" fontId="22" fillId="6" borderId="38" xfId="0" applyNumberFormat="1" applyFont="1" applyFill="1" applyBorder="1" applyAlignment="1">
      <alignment horizontal="center"/>
    </xf>
    <xf numFmtId="0" fontId="3" fillId="2" borderId="44" xfId="0" applyFont="1" applyFill="1" applyBorder="1" applyAlignment="1">
      <alignment horizontal="center" vertical="center"/>
    </xf>
    <xf numFmtId="170" fontId="3" fillId="2" borderId="45" xfId="0" applyNumberFormat="1" applyFont="1" applyFill="1" applyBorder="1" applyAlignment="1">
      <alignment horizontal="center" vertical="center"/>
    </xf>
    <xf numFmtId="0" fontId="3" fillId="2" borderId="46" xfId="0" applyFont="1" applyFill="1" applyBorder="1" applyAlignment="1">
      <alignment horizontal="center" vertical="center" wrapText="1"/>
    </xf>
    <xf numFmtId="1" fontId="3" fillId="2" borderId="25" xfId="0" applyNumberFormat="1" applyFont="1" applyFill="1" applyBorder="1" applyAlignment="1">
      <alignment horizontal="center" vertical="center" wrapText="1"/>
    </xf>
    <xf numFmtId="1" fontId="3" fillId="2" borderId="53" xfId="0" applyNumberFormat="1" applyFont="1" applyFill="1" applyBorder="1" applyAlignment="1">
      <alignment horizontal="center" vertical="center" wrapText="1"/>
    </xf>
    <xf numFmtId="1" fontId="3" fillId="2" borderId="54" xfId="0" applyNumberFormat="1" applyFont="1" applyFill="1" applyBorder="1" applyAlignment="1">
      <alignment horizontal="center" vertical="center" wrapText="1"/>
    </xf>
    <xf numFmtId="0" fontId="3" fillId="2" borderId="48" xfId="0" applyFont="1" applyFill="1" applyBorder="1" applyAlignment="1">
      <alignment horizontal="center"/>
    </xf>
    <xf numFmtId="169" fontId="3" fillId="2" borderId="49" xfId="0" applyNumberFormat="1" applyFont="1" applyFill="1" applyBorder="1" applyAlignment="1">
      <alignment horizontal="center"/>
    </xf>
    <xf numFmtId="169" fontId="3" fillId="2" borderId="50" xfId="0" applyNumberFormat="1" applyFont="1" applyFill="1" applyBorder="1" applyAlignment="1">
      <alignment horizontal="center"/>
    </xf>
    <xf numFmtId="0" fontId="3" fillId="2" borderId="51" xfId="0" applyFont="1" applyFill="1" applyBorder="1" applyAlignment="1">
      <alignment horizontal="center"/>
    </xf>
    <xf numFmtId="170" fontId="3" fillId="2" borderId="52" xfId="0" applyNumberFormat="1" applyFont="1" applyFill="1" applyBorder="1" applyAlignment="1">
      <alignment horizontal="center"/>
    </xf>
    <xf numFmtId="0" fontId="3" fillId="2" borderId="42" xfId="0" applyFont="1" applyFill="1" applyBorder="1" applyAlignment="1">
      <alignment horizontal="center"/>
    </xf>
    <xf numFmtId="0" fontId="3" fillId="2" borderId="33" xfId="0" applyFont="1" applyFill="1" applyBorder="1" applyAlignment="1">
      <alignment horizontal="center"/>
    </xf>
    <xf numFmtId="0" fontId="3" fillId="2" borderId="55" xfId="0" applyFont="1" applyFill="1" applyBorder="1" applyAlignment="1">
      <alignment horizontal="center"/>
    </xf>
    <xf numFmtId="0" fontId="3" fillId="2" borderId="35" xfId="0" applyFont="1" applyFill="1" applyBorder="1" applyAlignment="1">
      <alignment horizontal="center"/>
    </xf>
  </cellXfs>
  <cellStyles count="147">
    <cellStyle name="Estilo 1" xfId="141" xr:uid="{00000000-0005-0000-0000-000000000000}"/>
    <cellStyle name="Hipervínculo" xfId="1" builtinId="8" hidden="1"/>
    <cellStyle name="Hipervínculo" xfId="3" builtinId="8" hidden="1"/>
    <cellStyle name="Hipervínculo" xfId="5" builtinId="8" hidden="1"/>
    <cellStyle name="Hipervínculo" xfId="7" builtinId="8" hidden="1"/>
    <cellStyle name="Hipervínculo" xfId="9" builtinId="8" hidden="1"/>
    <cellStyle name="Hipervínculo" xfId="11" builtinId="8" hidden="1"/>
    <cellStyle name="Hipervínculo" xfId="13" builtinId="8" hidden="1"/>
    <cellStyle name="Hipervínculo" xfId="15" builtinId="8" hidden="1"/>
    <cellStyle name="Hipervínculo" xfId="17" builtinId="8" hidden="1"/>
    <cellStyle name="Hipervínculo" xfId="19" builtinId="8" hidden="1"/>
    <cellStyle name="Hipervínculo" xfId="21" builtinId="8" hidden="1"/>
    <cellStyle name="Hipervínculo" xfId="23" builtinId="8" hidden="1"/>
    <cellStyle name="Hipervínculo" xfId="25" builtinId="8" hidden="1"/>
    <cellStyle name="Hipervínculo" xfId="27" builtinId="8" hidden="1"/>
    <cellStyle name="Hipervínculo" xfId="29" builtinId="8" hidden="1"/>
    <cellStyle name="Hipervínculo" xfId="31" builtinId="8" hidden="1"/>
    <cellStyle name="Hipervínculo" xfId="33" builtinId="8" hidden="1"/>
    <cellStyle name="Hipervínculo" xfId="35" builtinId="8" hidden="1"/>
    <cellStyle name="Hipervínculo" xfId="37" builtinId="8" hidden="1"/>
    <cellStyle name="Hipervínculo" xfId="39" builtinId="8" hidden="1"/>
    <cellStyle name="Hipervínculo" xfId="41" builtinId="8" hidden="1"/>
    <cellStyle name="Hipervínculo" xfId="43" builtinId="8" hidden="1"/>
    <cellStyle name="Hipervínculo" xfId="45" builtinId="8" hidden="1"/>
    <cellStyle name="Hipervínculo" xfId="47" builtinId="8" hidden="1"/>
    <cellStyle name="Hipervínculo" xfId="49" builtinId="8" hidden="1"/>
    <cellStyle name="Hipervínculo" xfId="51" builtinId="8" hidden="1"/>
    <cellStyle name="Hipervínculo" xfId="53" builtinId="8" hidden="1"/>
    <cellStyle name="Hipervínculo" xfId="55" builtinId="8" hidden="1"/>
    <cellStyle name="Hipervínculo" xfId="57" builtinId="8" hidden="1"/>
    <cellStyle name="Hipervínculo" xfId="59" builtinId="8" hidden="1"/>
    <cellStyle name="Hipervínculo" xfId="61" builtinId="8" hidden="1"/>
    <cellStyle name="Hipervínculo" xfId="63" builtinId="8" hidden="1"/>
    <cellStyle name="Hipervínculo" xfId="65" builtinId="8" hidden="1"/>
    <cellStyle name="Hipervínculo" xfId="67" builtinId="8" hidden="1"/>
    <cellStyle name="Hipervínculo" xfId="69" builtinId="8" hidden="1"/>
    <cellStyle name="Hipervínculo" xfId="71" builtinId="8" hidden="1"/>
    <cellStyle name="Hipervínculo" xfId="73" builtinId="8" hidden="1"/>
    <cellStyle name="Hipervínculo" xfId="75" builtinId="8" hidden="1"/>
    <cellStyle name="Hipervínculo" xfId="77" builtinId="8" hidden="1"/>
    <cellStyle name="Hipervínculo" xfId="79" builtinId="8" hidden="1"/>
    <cellStyle name="Hipervínculo" xfId="81" builtinId="8" hidden="1"/>
    <cellStyle name="Hipervínculo" xfId="83" builtinId="8" hidden="1"/>
    <cellStyle name="Hipervínculo" xfId="85" builtinId="8" hidden="1"/>
    <cellStyle name="Hipervínculo" xfId="87" builtinId="8" hidden="1"/>
    <cellStyle name="Hipervínculo" xfId="89" builtinId="8" hidden="1"/>
    <cellStyle name="Hipervínculo" xfId="91" builtinId="8" hidden="1"/>
    <cellStyle name="Hipervínculo" xfId="93" builtinId="8" hidden="1"/>
    <cellStyle name="Hipervínculo" xfId="95" builtinId="8" hidden="1"/>
    <cellStyle name="Hipervínculo" xfId="97" builtinId="8" hidden="1"/>
    <cellStyle name="Hipervínculo" xfId="99" builtinId="8" hidden="1"/>
    <cellStyle name="Hipervínculo" xfId="101" builtinId="8" hidden="1"/>
    <cellStyle name="Hipervínculo" xfId="103" builtinId="8" hidden="1"/>
    <cellStyle name="Hipervínculo" xfId="105" builtinId="8" hidden="1"/>
    <cellStyle name="Hipervínculo" xfId="107" builtinId="8" hidden="1"/>
    <cellStyle name="Hipervínculo" xfId="109" builtinId="8" hidden="1"/>
    <cellStyle name="Hipervínculo" xfId="111" builtinId="8" hidden="1"/>
    <cellStyle name="Hipervínculo" xfId="113" builtinId="8" hidden="1"/>
    <cellStyle name="Hipervínculo" xfId="115" builtinId="8" hidden="1"/>
    <cellStyle name="Hipervínculo" xfId="117" builtinId="8" hidden="1"/>
    <cellStyle name="Hipervínculo" xfId="119" builtinId="8" hidden="1"/>
    <cellStyle name="Hipervínculo" xfId="121" builtinId="8" hidden="1"/>
    <cellStyle name="Hipervínculo" xfId="123" builtinId="8" hidden="1"/>
    <cellStyle name="Hipervínculo" xfId="125" builtinId="8" hidden="1"/>
    <cellStyle name="Hipervínculo" xfId="127" builtinId="8" hidden="1"/>
    <cellStyle name="Hipervínculo" xfId="129" builtinId="8" hidden="1"/>
    <cellStyle name="Hipervínculo" xfId="131" builtinId="8" hidden="1"/>
    <cellStyle name="Hipervínculo" xfId="133" builtinId="8" hidden="1"/>
    <cellStyle name="Hipervínculo visitado" xfId="2" builtinId="9" hidden="1"/>
    <cellStyle name="Hipervínculo visitado" xfId="4" builtinId="9" hidden="1"/>
    <cellStyle name="Hipervínculo visitado" xfId="6" builtinId="9" hidden="1"/>
    <cellStyle name="Hipervínculo visitado" xfId="8" builtinId="9" hidden="1"/>
    <cellStyle name="Hipervínculo visitado" xfId="10" builtinId="9" hidden="1"/>
    <cellStyle name="Hipervínculo visitado" xfId="12" builtinId="9" hidden="1"/>
    <cellStyle name="Hipervínculo visitado" xfId="14" builtinId="9" hidden="1"/>
    <cellStyle name="Hipervínculo visitado" xfId="16" builtinId="9" hidden="1"/>
    <cellStyle name="Hipervínculo visitado" xfId="18" builtinId="9" hidden="1"/>
    <cellStyle name="Hipervínculo visitado" xfId="20" builtinId="9" hidden="1"/>
    <cellStyle name="Hipervínculo visitado" xfId="22" builtinId="9" hidden="1"/>
    <cellStyle name="Hipervínculo visitado" xfId="24" builtinId="9" hidden="1"/>
    <cellStyle name="Hipervínculo visitado" xfId="26" builtinId="9" hidden="1"/>
    <cellStyle name="Hipervínculo visitado" xfId="28" builtinId="9" hidden="1"/>
    <cellStyle name="Hipervínculo visitado" xfId="30" builtinId="9" hidden="1"/>
    <cellStyle name="Hipervínculo visitado" xfId="32" builtinId="9" hidden="1"/>
    <cellStyle name="Hipervínculo visitado" xfId="34" builtinId="9" hidden="1"/>
    <cellStyle name="Hipervínculo visitado" xfId="36" builtinId="9" hidden="1"/>
    <cellStyle name="Hipervínculo visitado" xfId="38" builtinId="9" hidden="1"/>
    <cellStyle name="Hipervínculo visitado" xfId="40" builtinId="9" hidden="1"/>
    <cellStyle name="Hipervínculo visitado" xfId="42" builtinId="9" hidden="1"/>
    <cellStyle name="Hipervínculo visitado" xfId="44" builtinId="9" hidden="1"/>
    <cellStyle name="Hipervínculo visitado" xfId="46" builtinId="9" hidden="1"/>
    <cellStyle name="Hipervínculo visitado" xfId="48" builtinId="9" hidden="1"/>
    <cellStyle name="Hipervínculo visitado" xfId="50" builtinId="9" hidden="1"/>
    <cellStyle name="Hipervínculo visitado" xfId="52" builtinId="9" hidden="1"/>
    <cellStyle name="Hipervínculo visitado" xfId="54" builtinId="9" hidden="1"/>
    <cellStyle name="Hipervínculo visitado" xfId="56" builtinId="9" hidden="1"/>
    <cellStyle name="Hipervínculo visitado" xfId="58" builtinId="9" hidden="1"/>
    <cellStyle name="Hipervínculo visitado" xfId="60" builtinId="9" hidden="1"/>
    <cellStyle name="Hipervínculo visitado" xfId="62" builtinId="9" hidden="1"/>
    <cellStyle name="Hipervínculo visitado" xfId="64" builtinId="9" hidden="1"/>
    <cellStyle name="Hipervínculo visitado" xfId="66" builtinId="9" hidden="1"/>
    <cellStyle name="Hipervínculo visitado" xfId="68" builtinId="9" hidden="1"/>
    <cellStyle name="Hipervínculo visitado" xfId="70" builtinId="9" hidden="1"/>
    <cellStyle name="Hipervínculo visitado" xfId="72" builtinId="9" hidden="1"/>
    <cellStyle name="Hipervínculo visitado" xfId="74" builtinId="9" hidden="1"/>
    <cellStyle name="Hipervínculo visitado" xfId="76" builtinId="9" hidden="1"/>
    <cellStyle name="Hipervínculo visitado" xfId="78" builtinId="9" hidden="1"/>
    <cellStyle name="Hipervínculo visitado" xfId="80" builtinId="9" hidden="1"/>
    <cellStyle name="Hipervínculo visitado" xfId="82" builtinId="9" hidden="1"/>
    <cellStyle name="Hipervínculo visitado" xfId="84" builtinId="9" hidden="1"/>
    <cellStyle name="Hipervínculo visitado" xfId="86" builtinId="9" hidden="1"/>
    <cellStyle name="Hipervínculo visitado" xfId="88" builtinId="9" hidden="1"/>
    <cellStyle name="Hipervínculo visitado" xfId="90" builtinId="9" hidden="1"/>
    <cellStyle name="Hipervínculo visitado" xfId="92" builtinId="9" hidden="1"/>
    <cellStyle name="Hipervínculo visitado" xfId="94" builtinId="9" hidden="1"/>
    <cellStyle name="Hipervínculo visitado" xfId="96" builtinId="9" hidden="1"/>
    <cellStyle name="Hipervínculo visitado" xfId="98" builtinId="9" hidden="1"/>
    <cellStyle name="Hipervínculo visitado" xfId="100" builtinId="9" hidden="1"/>
    <cellStyle name="Hipervínculo visitado" xfId="102" builtinId="9" hidden="1"/>
    <cellStyle name="Hipervínculo visitado" xfId="104" builtinId="9" hidden="1"/>
    <cellStyle name="Hipervínculo visitado" xfId="106" builtinId="9" hidden="1"/>
    <cellStyle name="Hipervínculo visitado" xfId="108" builtinId="9" hidden="1"/>
    <cellStyle name="Hipervínculo visitado" xfId="110" builtinId="9" hidden="1"/>
    <cellStyle name="Hipervínculo visitado" xfId="112" builtinId="9" hidden="1"/>
    <cellStyle name="Hipervínculo visitado" xfId="114" builtinId="9" hidden="1"/>
    <cellStyle name="Hipervínculo visitado" xfId="116" builtinId="9" hidden="1"/>
    <cellStyle name="Hipervínculo visitado" xfId="118" builtinId="9" hidden="1"/>
    <cellStyle name="Hipervínculo visitado" xfId="120" builtinId="9" hidden="1"/>
    <cellStyle name="Hipervínculo visitado" xfId="122" builtinId="9" hidden="1"/>
    <cellStyle name="Hipervínculo visitado" xfId="124" builtinId="9" hidden="1"/>
    <cellStyle name="Hipervínculo visitado" xfId="126" builtinId="9" hidden="1"/>
    <cellStyle name="Hipervínculo visitado" xfId="128" builtinId="9" hidden="1"/>
    <cellStyle name="Hipervínculo visitado" xfId="130" builtinId="9" hidden="1"/>
    <cellStyle name="Hipervínculo visitado" xfId="132" builtinId="9" hidden="1"/>
    <cellStyle name="Hipervínculo visitado" xfId="134" builtinId="9" hidden="1"/>
    <cellStyle name="Millares 2" xfId="135" xr:uid="{00000000-0005-0000-0000-000088000000}"/>
    <cellStyle name="Moneda [0]" xfId="138" builtinId="7"/>
    <cellStyle name="Moneda [0] 14" xfId="146" xr:uid="{D5F2538A-3E40-4493-8BAD-BFD5D3C309F2}"/>
    <cellStyle name="Moneda 2" xfId="137" xr:uid="{00000000-0005-0000-0000-00008A000000}"/>
    <cellStyle name="Normal" xfId="0" builtinId="0"/>
    <cellStyle name="Normal 2" xfId="136" xr:uid="{00000000-0005-0000-0000-00008C000000}"/>
    <cellStyle name="Normal 2 2" xfId="140" xr:uid="{00000000-0005-0000-0000-00008D000000}"/>
    <cellStyle name="Normal 2 2 2" xfId="142" xr:uid="{00000000-0005-0000-0000-00008E000000}"/>
    <cellStyle name="Normal 2 2 2 2" xfId="144" xr:uid="{9FA705B0-52A9-4F65-8A46-E3B55BBB0B99}"/>
    <cellStyle name="Normal 29" xfId="143" xr:uid="{00000000-0005-0000-0000-00008F000000}"/>
    <cellStyle name="Normal 43" xfId="145" xr:uid="{0D21FF0C-A951-4EA6-BEC9-5C1E0D483BCC}"/>
    <cellStyle name="Porcentaje" xfId="139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15875</xdr:colOff>
      <xdr:row>1</xdr:row>
      <xdr:rowOff>31750</xdr:rowOff>
    </xdr:from>
    <xdr:to>
      <xdr:col>1</xdr:col>
      <xdr:colOff>1720310</xdr:colOff>
      <xdr:row>7</xdr:row>
      <xdr:rowOff>142875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EB28772-7024-5245-8E48-6A6D8ECF1B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9750" y="222250"/>
          <a:ext cx="1704435" cy="12541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00FF"/>
    <pageSetUpPr fitToPage="1"/>
  </sheetPr>
  <dimension ref="A1:V41"/>
  <sheetViews>
    <sheetView tabSelected="1" zoomScale="80" zoomScaleNormal="80" zoomScalePageLayoutView="80" workbookViewId="0">
      <selection activeCell="L28" sqref="L28"/>
    </sheetView>
  </sheetViews>
  <sheetFormatPr baseColWidth="10" defaultRowHeight="15"/>
  <cols>
    <col min="1" max="1" width="6.83203125" style="51" customWidth="1"/>
    <col min="2" max="2" width="43.1640625" style="51" customWidth="1"/>
    <col min="3" max="3" width="15.83203125" style="51" customWidth="1"/>
    <col min="4" max="4" width="41.1640625" style="51" customWidth="1"/>
    <col min="5" max="5" width="17.6640625" style="51" customWidth="1"/>
    <col min="6" max="6" width="15.33203125" style="51" bestFit="1" customWidth="1"/>
    <col min="7" max="7" width="8" style="51" customWidth="1"/>
    <col min="8" max="8" width="12.83203125" style="51" customWidth="1"/>
    <col min="9" max="9" width="18" style="51" customWidth="1"/>
    <col min="10" max="10" width="28.6640625" style="51" customWidth="1"/>
    <col min="11" max="11" width="1.6640625" style="51" customWidth="1"/>
    <col min="12" max="12" width="20.83203125" style="51" customWidth="1"/>
    <col min="13" max="13" width="1.5" style="51" customWidth="1"/>
    <col min="14" max="14" width="20.83203125" style="51" customWidth="1"/>
    <col min="15" max="15" width="1.5" style="51" customWidth="1"/>
    <col min="16" max="16" width="20.83203125" style="51" customWidth="1"/>
    <col min="17" max="17" width="1.5" style="51" customWidth="1"/>
    <col min="18" max="18" width="16.33203125" bestFit="1" customWidth="1"/>
    <col min="19" max="19" width="1.5" style="51" customWidth="1"/>
    <col min="20" max="20" width="16.33203125" bestFit="1" customWidth="1"/>
    <col min="22" max="22" width="17" bestFit="1" customWidth="1"/>
  </cols>
  <sheetData>
    <row r="1" spans="1:20" ht="1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S1" s="1"/>
    </row>
    <row r="2" spans="1:20" ht="15" customHeight="1">
      <c r="A2" s="1"/>
      <c r="B2" s="1"/>
      <c r="C2" s="1"/>
      <c r="D2" s="1"/>
      <c r="E2" s="1"/>
      <c r="F2" s="1"/>
      <c r="G2" s="1"/>
      <c r="H2" s="1"/>
      <c r="I2" s="1"/>
      <c r="J2" s="2"/>
      <c r="K2" s="1"/>
      <c r="L2" s="2"/>
      <c r="M2" s="1"/>
      <c r="N2" s="1"/>
      <c r="O2" s="1"/>
      <c r="P2" s="1"/>
      <c r="Q2" s="1"/>
      <c r="S2" s="1"/>
    </row>
    <row r="3" spans="1:20" ht="15" customHeight="1">
      <c r="A3" s="1"/>
      <c r="B3" s="1"/>
      <c r="C3" s="1"/>
      <c r="D3" s="1"/>
      <c r="E3" s="1"/>
      <c r="F3" s="1"/>
      <c r="G3" s="1"/>
      <c r="H3" s="1"/>
      <c r="I3" s="3"/>
      <c r="J3" s="172">
        <v>1</v>
      </c>
      <c r="K3" s="173"/>
      <c r="L3" s="172" t="s">
        <v>0</v>
      </c>
      <c r="M3" s="6"/>
      <c r="N3" s="1"/>
      <c r="O3" s="1"/>
      <c r="P3" s="1"/>
      <c r="Q3" s="1"/>
      <c r="S3" s="1"/>
    </row>
    <row r="4" spans="1:20" ht="15" customHeight="1">
      <c r="A4" s="1"/>
      <c r="B4" s="1"/>
      <c r="C4" s="1"/>
      <c r="D4" s="1"/>
      <c r="E4" s="1"/>
      <c r="F4" s="1"/>
      <c r="G4" s="1"/>
      <c r="H4" s="1"/>
      <c r="I4" s="3"/>
      <c r="J4" s="172">
        <v>2</v>
      </c>
      <c r="K4" s="173"/>
      <c r="L4" s="172" t="s">
        <v>1</v>
      </c>
      <c r="M4" s="6"/>
      <c r="N4" s="1"/>
      <c r="O4" s="1"/>
      <c r="P4" s="1"/>
      <c r="Q4" s="1"/>
      <c r="S4" s="1"/>
    </row>
    <row r="5" spans="1:20" ht="15" customHeight="1">
      <c r="A5" s="1"/>
      <c r="B5" s="1"/>
      <c r="C5" s="1"/>
      <c r="D5" s="1"/>
      <c r="E5" s="1"/>
      <c r="F5" s="1"/>
      <c r="G5" s="1"/>
      <c r="H5" s="1"/>
      <c r="I5" s="3"/>
      <c r="J5" s="172">
        <v>3</v>
      </c>
      <c r="K5" s="173"/>
      <c r="L5" s="172" t="s">
        <v>2</v>
      </c>
      <c r="M5" s="6"/>
      <c r="N5" s="1"/>
      <c r="O5" s="1"/>
      <c r="P5" s="1"/>
      <c r="Q5" s="1"/>
      <c r="S5" s="1"/>
    </row>
    <row r="6" spans="1:20" ht="15" customHeight="1">
      <c r="A6" s="1"/>
      <c r="B6" s="1"/>
      <c r="C6" s="1"/>
      <c r="D6" s="1"/>
      <c r="E6" s="1"/>
      <c r="F6" s="1"/>
      <c r="G6" s="1"/>
      <c r="H6" s="1"/>
      <c r="I6" s="3"/>
      <c r="J6" s="172">
        <v>4</v>
      </c>
      <c r="K6" s="173"/>
      <c r="L6" s="172" t="s">
        <v>59</v>
      </c>
      <c r="M6" s="6"/>
      <c r="N6" s="1"/>
      <c r="O6" s="1"/>
      <c r="P6" s="1"/>
      <c r="Q6" s="1"/>
      <c r="S6" s="1"/>
    </row>
    <row r="7" spans="1:20" ht="15" customHeight="1">
      <c r="A7" s="1"/>
      <c r="B7" s="1"/>
      <c r="C7" s="1"/>
      <c r="D7" s="1"/>
      <c r="E7" s="1"/>
      <c r="F7" s="1"/>
      <c r="G7" s="1"/>
      <c r="H7" s="1"/>
      <c r="I7" s="1"/>
      <c r="J7" s="172">
        <v>5</v>
      </c>
      <c r="K7" s="173"/>
      <c r="L7" s="172" t="s">
        <v>60</v>
      </c>
      <c r="M7" s="6"/>
      <c r="N7" s="1"/>
      <c r="O7" s="1"/>
      <c r="P7" s="1"/>
      <c r="Q7" s="1"/>
      <c r="S7" s="1"/>
    </row>
    <row r="8" spans="1:20" ht="15" customHeight="1">
      <c r="A8" s="1"/>
      <c r="B8" s="1"/>
      <c r="C8" s="1"/>
      <c r="D8" s="1"/>
      <c r="E8" s="1"/>
      <c r="F8" s="1"/>
      <c r="G8" s="1"/>
      <c r="H8" s="1"/>
      <c r="I8" s="1"/>
      <c r="J8" s="172">
        <v>6</v>
      </c>
      <c r="K8" s="217"/>
      <c r="L8" s="172" t="s">
        <v>61</v>
      </c>
      <c r="M8" s="1"/>
      <c r="N8" s="1"/>
      <c r="O8" s="1"/>
      <c r="P8" s="1"/>
      <c r="Q8" s="1"/>
      <c r="S8" s="1"/>
    </row>
    <row r="9" spans="1:20" ht="25" customHeight="1">
      <c r="A9" s="7"/>
      <c r="B9" s="8" t="s">
        <v>51</v>
      </c>
      <c r="C9" s="373" t="s">
        <v>75</v>
      </c>
      <c r="D9" s="373"/>
      <c r="E9" s="373"/>
      <c r="F9" s="373"/>
      <c r="G9" s="373"/>
      <c r="H9" s="373"/>
      <c r="I9" s="373"/>
      <c r="J9" s="373"/>
      <c r="K9" s="373"/>
      <c r="L9" s="373"/>
      <c r="M9" s="373"/>
      <c r="N9" s="373"/>
      <c r="O9" s="373"/>
      <c r="P9" s="373"/>
      <c r="Q9"/>
      <c r="S9"/>
    </row>
    <row r="10" spans="1:20" ht="23">
      <c r="A10" s="7"/>
      <c r="B10" s="9" t="s">
        <v>3</v>
      </c>
      <c r="C10" s="374" t="s">
        <v>76</v>
      </c>
      <c r="D10" s="375"/>
      <c r="E10" s="375"/>
      <c r="F10" s="375"/>
      <c r="G10" s="375"/>
      <c r="H10" s="375"/>
      <c r="I10" s="10"/>
      <c r="J10" s="10"/>
      <c r="K10" s="10"/>
      <c r="L10" s="10"/>
      <c r="M10" s="10"/>
      <c r="N10" s="10"/>
      <c r="O10" s="10"/>
      <c r="P10" s="10"/>
      <c r="Q10" s="10"/>
      <c r="S10" s="10"/>
    </row>
    <row r="11" spans="1:20" ht="23">
      <c r="A11" s="11"/>
      <c r="B11" s="365"/>
      <c r="C11" s="366"/>
      <c r="D11" s="366"/>
      <c r="E11" s="366"/>
      <c r="F11" s="366"/>
      <c r="G11" s="366"/>
      <c r="H11" s="366"/>
      <c r="I11" s="366"/>
      <c r="J11" s="366"/>
      <c r="K11" s="366"/>
      <c r="L11" s="366"/>
      <c r="M11" s="366"/>
      <c r="N11" s="366"/>
      <c r="O11" s="366"/>
      <c r="P11" s="367"/>
      <c r="Q11"/>
      <c r="S11"/>
    </row>
    <row r="12" spans="1:20" ht="23">
      <c r="A12" s="7"/>
      <c r="B12" s="368" t="s">
        <v>4</v>
      </c>
      <c r="C12" s="369"/>
      <c r="D12" s="369"/>
      <c r="E12" s="369"/>
      <c r="F12" s="369"/>
      <c r="G12" s="369"/>
      <c r="H12" s="369"/>
      <c r="I12" s="369"/>
      <c r="J12" s="369"/>
      <c r="K12" s="369"/>
      <c r="L12" s="369"/>
      <c r="M12" s="369"/>
      <c r="N12" s="369"/>
      <c r="O12" s="369"/>
      <c r="P12" s="370"/>
      <c r="Q12"/>
      <c r="S12"/>
    </row>
    <row r="13" spans="1:20">
      <c r="A13" s="1"/>
      <c r="B13" s="1"/>
      <c r="C13" s="1"/>
      <c r="D13" s="1"/>
      <c r="E13" s="12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S13" s="1"/>
    </row>
    <row r="14" spans="1:20" ht="25">
      <c r="A14" s="1"/>
      <c r="B14" s="13" t="s">
        <v>5</v>
      </c>
      <c r="C14" s="14">
        <v>45875</v>
      </c>
      <c r="D14" s="15" t="s">
        <v>62</v>
      </c>
      <c r="E14" s="16">
        <f>I17-C14</f>
        <v>72</v>
      </c>
      <c r="F14" s="1"/>
      <c r="G14" s="1"/>
      <c r="H14" s="1"/>
      <c r="I14" s="17"/>
      <c r="J14" s="18"/>
      <c r="K14" s="1"/>
      <c r="L14" s="1"/>
      <c r="M14" s="1"/>
      <c r="N14" s="1"/>
      <c r="O14" s="1"/>
      <c r="P14" s="1"/>
      <c r="Q14" s="1"/>
      <c r="S14" s="1"/>
    </row>
    <row r="15" spans="1:20" ht="25">
      <c r="A15" s="1"/>
      <c r="B15" s="13" t="s">
        <v>6</v>
      </c>
      <c r="C15" s="14">
        <v>45935</v>
      </c>
      <c r="D15" s="15" t="s">
        <v>63</v>
      </c>
      <c r="E15" s="16">
        <f>C15-C14</f>
        <v>60</v>
      </c>
      <c r="F15" s="1"/>
      <c r="G15" s="1"/>
      <c r="H15" s="1"/>
      <c r="I15" s="19" t="s">
        <v>165</v>
      </c>
      <c r="J15" s="20"/>
      <c r="K15" s="1"/>
      <c r="L15" s="2"/>
      <c r="M15" s="1"/>
      <c r="N15" s="2"/>
      <c r="O15" s="1"/>
      <c r="P15" s="2"/>
      <c r="Q15" s="1"/>
      <c r="S15" s="1"/>
    </row>
    <row r="16" spans="1:20">
      <c r="A16" s="2"/>
      <c r="B16" s="2"/>
      <c r="C16" s="2"/>
      <c r="D16" s="2"/>
      <c r="E16" s="2"/>
      <c r="F16" s="2"/>
      <c r="G16" s="1"/>
      <c r="H16" s="21"/>
      <c r="I16" s="22" t="s">
        <v>7</v>
      </c>
      <c r="J16" s="371" t="s">
        <v>8</v>
      </c>
      <c r="K16" s="5"/>
      <c r="L16" s="23" t="s">
        <v>9</v>
      </c>
      <c r="M16" s="24"/>
      <c r="N16" s="23" t="s">
        <v>10</v>
      </c>
      <c r="O16" s="24"/>
      <c r="P16" s="23" t="s">
        <v>11</v>
      </c>
      <c r="Q16" s="24"/>
      <c r="R16" s="186" t="s">
        <v>54</v>
      </c>
      <c r="S16" s="24"/>
      <c r="T16" s="212" t="s">
        <v>56</v>
      </c>
    </row>
    <row r="17" spans="1:22" ht="28">
      <c r="A17" s="25" t="s">
        <v>12</v>
      </c>
      <c r="B17" s="23" t="s">
        <v>13</v>
      </c>
      <c r="C17" s="23" t="s">
        <v>14</v>
      </c>
      <c r="D17" s="23" t="s">
        <v>15</v>
      </c>
      <c r="E17" s="23" t="s">
        <v>16</v>
      </c>
      <c r="F17" s="4" t="s">
        <v>17</v>
      </c>
      <c r="G17" s="4" t="s">
        <v>18</v>
      </c>
      <c r="H17" s="183" t="s">
        <v>53</v>
      </c>
      <c r="I17" s="26">
        <v>45947</v>
      </c>
      <c r="J17" s="372"/>
      <c r="K17" s="5"/>
      <c r="L17" s="27"/>
      <c r="M17" s="5"/>
      <c r="N17" s="27"/>
      <c r="O17" s="5"/>
      <c r="P17" s="27"/>
      <c r="Q17" s="5"/>
      <c r="R17" s="187" t="s">
        <v>38</v>
      </c>
      <c r="S17" s="5"/>
      <c r="T17" s="216">
        <v>0.05</v>
      </c>
    </row>
    <row r="18" spans="1:22" ht="20" customHeight="1">
      <c r="A18" s="28"/>
      <c r="B18" s="29"/>
      <c r="C18" s="30"/>
      <c r="D18" s="31"/>
      <c r="E18" s="32"/>
      <c r="F18" s="33"/>
      <c r="G18" s="174"/>
      <c r="H18" s="190"/>
      <c r="I18" s="175"/>
      <c r="J18" s="32"/>
      <c r="K18" s="5"/>
      <c r="L18" s="32"/>
      <c r="M18" s="5"/>
      <c r="N18" s="32"/>
      <c r="O18" s="5"/>
      <c r="P18" s="222"/>
      <c r="Q18" s="5"/>
      <c r="R18" s="188"/>
      <c r="S18" s="5"/>
      <c r="T18" s="214"/>
    </row>
    <row r="19" spans="1:22" ht="20" customHeight="1">
      <c r="A19" s="280">
        <v>1</v>
      </c>
      <c r="B19" s="194" t="s">
        <v>77</v>
      </c>
      <c r="C19" s="281" t="s">
        <v>74</v>
      </c>
      <c r="D19" s="341" t="s">
        <v>68</v>
      </c>
      <c r="E19" s="200">
        <f>'1'!G43</f>
        <v>1225000</v>
      </c>
      <c r="F19" s="200" t="s">
        <v>19</v>
      </c>
      <c r="G19" s="282"/>
      <c r="H19" s="189"/>
      <c r="I19" s="196">
        <f>'1'!M43</f>
        <v>0</v>
      </c>
      <c r="J19" s="197"/>
      <c r="K19" s="198"/>
      <c r="L19" s="200">
        <f>+'1'!I43</f>
        <v>1225000</v>
      </c>
      <c r="M19" s="198"/>
      <c r="N19" s="195">
        <f>'1'!K43</f>
        <v>1225000</v>
      </c>
      <c r="O19" s="198"/>
      <c r="P19" s="221">
        <f t="shared" ref="P19" si="0">E19-L19</f>
        <v>0</v>
      </c>
      <c r="Q19" s="198"/>
      <c r="R19" s="199">
        <f>L19/E19</f>
        <v>1</v>
      </c>
      <c r="S19" s="198"/>
      <c r="T19" s="234" t="s">
        <v>65</v>
      </c>
      <c r="V19" s="185"/>
    </row>
    <row r="20" spans="1:22" ht="20.25" customHeight="1">
      <c r="A20" s="280">
        <v>2</v>
      </c>
      <c r="B20" s="194" t="s">
        <v>78</v>
      </c>
      <c r="C20" s="281" t="s">
        <v>73</v>
      </c>
      <c r="D20" s="341" t="s">
        <v>72</v>
      </c>
      <c r="E20" s="200">
        <f>'2'!G43</f>
        <v>1225000</v>
      </c>
      <c r="F20" s="200" t="s">
        <v>19</v>
      </c>
      <c r="G20" s="282"/>
      <c r="H20" s="189"/>
      <c r="I20" s="196">
        <f>'2'!M43</f>
        <v>0</v>
      </c>
      <c r="J20" s="197"/>
      <c r="K20" s="198"/>
      <c r="L20" s="200">
        <f>+'2'!I43</f>
        <v>1225000</v>
      </c>
      <c r="M20" s="198"/>
      <c r="N20" s="195">
        <f>'2'!K43</f>
        <v>1225000</v>
      </c>
      <c r="O20" s="198"/>
      <c r="P20" s="221">
        <f t="shared" ref="P20" si="1">E20-L20</f>
        <v>0</v>
      </c>
      <c r="Q20" s="198"/>
      <c r="R20" s="199">
        <f t="shared" ref="R20" si="2">L20/E20</f>
        <v>1</v>
      </c>
      <c r="S20" s="198"/>
      <c r="T20" s="234" t="s">
        <v>65</v>
      </c>
      <c r="V20" s="185"/>
    </row>
    <row r="21" spans="1:22" ht="20" customHeight="1">
      <c r="A21" s="231">
        <v>3</v>
      </c>
      <c r="B21" s="270" t="s">
        <v>81</v>
      </c>
      <c r="C21" s="358" t="s">
        <v>89</v>
      </c>
      <c r="D21" s="291" t="s">
        <v>83</v>
      </c>
      <c r="E21" s="232">
        <f>'3'!G43</f>
        <v>6150000</v>
      </c>
      <c r="F21" s="232" t="s">
        <v>19</v>
      </c>
      <c r="G21" s="233">
        <v>3</v>
      </c>
      <c r="H21" s="189">
        <v>3</v>
      </c>
      <c r="I21" s="196">
        <f>'3'!M43</f>
        <v>614999.99999999988</v>
      </c>
      <c r="J21" s="197"/>
      <c r="K21" s="198"/>
      <c r="L21" s="200">
        <f>+'3'!I43</f>
        <v>6150000</v>
      </c>
      <c r="M21" s="198"/>
      <c r="N21" s="195">
        <f>'3'!K43</f>
        <v>5535000</v>
      </c>
      <c r="O21" s="198"/>
      <c r="P21" s="221">
        <f t="shared" ref="P21" si="3">E21-L21</f>
        <v>0</v>
      </c>
      <c r="Q21" s="198"/>
      <c r="R21" s="199">
        <f t="shared" ref="R21" si="4">L21/E21</f>
        <v>1</v>
      </c>
      <c r="S21" s="198"/>
      <c r="T21" s="234" t="s">
        <v>65</v>
      </c>
      <c r="V21" s="185"/>
    </row>
    <row r="22" spans="1:22" ht="16">
      <c r="A22" s="335">
        <v>4</v>
      </c>
      <c r="B22" s="355" t="s">
        <v>141</v>
      </c>
      <c r="C22" s="337" t="s">
        <v>142</v>
      </c>
      <c r="D22" s="338" t="s">
        <v>82</v>
      </c>
      <c r="E22" s="339">
        <f>'4'!G43</f>
        <v>4050000</v>
      </c>
      <c r="F22" s="339" t="s">
        <v>19</v>
      </c>
      <c r="G22" s="340"/>
      <c r="H22" s="346"/>
      <c r="I22" s="347">
        <f>'4'!M43</f>
        <v>0</v>
      </c>
      <c r="J22" s="348"/>
      <c r="K22" s="349"/>
      <c r="L22" s="339">
        <f>+'4'!I43</f>
        <v>4050000</v>
      </c>
      <c r="M22" s="349"/>
      <c r="N22" s="350">
        <f>'4'!K43</f>
        <v>4050000</v>
      </c>
      <c r="O22" s="349"/>
      <c r="P22" s="351">
        <f t="shared" ref="P22" si="5">E22-L22</f>
        <v>0</v>
      </c>
      <c r="Q22" s="349"/>
      <c r="R22" s="352">
        <f t="shared" ref="R22" si="6">L22/E22</f>
        <v>1</v>
      </c>
      <c r="S22" s="198"/>
      <c r="T22" s="234" t="s">
        <v>65</v>
      </c>
      <c r="V22" s="185"/>
    </row>
    <row r="23" spans="1:22" ht="20" customHeight="1">
      <c r="A23" s="335">
        <v>5</v>
      </c>
      <c r="B23" s="355" t="s">
        <v>107</v>
      </c>
      <c r="C23" s="337" t="s">
        <v>119</v>
      </c>
      <c r="D23" s="338" t="s">
        <v>108</v>
      </c>
      <c r="E23" s="339">
        <f>'5'!G45</f>
        <v>2415585</v>
      </c>
      <c r="F23" s="339" t="s">
        <v>19</v>
      </c>
      <c r="G23" s="340"/>
      <c r="H23" s="346"/>
      <c r="I23" s="347">
        <f>'5'!M45</f>
        <v>0</v>
      </c>
      <c r="J23" s="348"/>
      <c r="K23" s="349"/>
      <c r="L23" s="339">
        <f>+'5'!I45</f>
        <v>2415585</v>
      </c>
      <c r="M23" s="349"/>
      <c r="N23" s="350">
        <f>'5'!K45</f>
        <v>2415585</v>
      </c>
      <c r="O23" s="349"/>
      <c r="P23" s="351">
        <f>E23-L23</f>
        <v>0</v>
      </c>
      <c r="Q23" s="349"/>
      <c r="R23" s="352">
        <f t="shared" ref="R23" si="7">L23/E23</f>
        <v>1</v>
      </c>
      <c r="S23" s="198"/>
      <c r="T23" s="234" t="s">
        <v>65</v>
      </c>
      <c r="V23" s="185"/>
    </row>
    <row r="24" spans="1:22" ht="20" customHeight="1">
      <c r="A24" s="335">
        <v>6</v>
      </c>
      <c r="B24" s="355" t="s">
        <v>144</v>
      </c>
      <c r="C24" s="337" t="s">
        <v>143</v>
      </c>
      <c r="D24" s="338" t="s">
        <v>120</v>
      </c>
      <c r="E24" s="339">
        <f>'6'!G48</f>
        <v>3071126</v>
      </c>
      <c r="F24" s="339" t="s">
        <v>19</v>
      </c>
      <c r="G24" s="340"/>
      <c r="H24" s="346"/>
      <c r="I24" s="347">
        <f>'6'!M48</f>
        <v>0</v>
      </c>
      <c r="J24" s="348"/>
      <c r="K24" s="349"/>
      <c r="L24" s="339">
        <f>+'6'!I48</f>
        <v>3071126</v>
      </c>
      <c r="M24" s="349"/>
      <c r="N24" s="350">
        <f>'6'!K48</f>
        <v>3071126</v>
      </c>
      <c r="O24" s="349"/>
      <c r="P24" s="351">
        <f>E24-L24</f>
        <v>0</v>
      </c>
      <c r="Q24" s="349"/>
      <c r="R24" s="352">
        <f t="shared" ref="R24:R25" si="8">L24/E24</f>
        <v>1</v>
      </c>
      <c r="S24" s="198"/>
      <c r="T24" s="234" t="s">
        <v>65</v>
      </c>
      <c r="V24" s="185"/>
    </row>
    <row r="25" spans="1:22" ht="20" customHeight="1">
      <c r="A25" s="335">
        <v>7</v>
      </c>
      <c r="B25" s="336" t="s">
        <v>127</v>
      </c>
      <c r="C25" s="337"/>
      <c r="D25" s="338" t="s">
        <v>126</v>
      </c>
      <c r="E25" s="339">
        <f>'7'!G43</f>
        <v>0</v>
      </c>
      <c r="F25" s="339" t="s">
        <v>19</v>
      </c>
      <c r="G25" s="340"/>
      <c r="H25" s="346"/>
      <c r="I25" s="347">
        <f>'7'!M43</f>
        <v>0</v>
      </c>
      <c r="J25" s="348"/>
      <c r="K25" s="349"/>
      <c r="L25" s="339">
        <f>+'3'!I47</f>
        <v>0</v>
      </c>
      <c r="M25" s="349"/>
      <c r="N25" s="350">
        <f>'3'!K47</f>
        <v>0</v>
      </c>
      <c r="O25" s="349"/>
      <c r="P25" s="351">
        <f t="shared" ref="P25" si="9">E25-L25</f>
        <v>0</v>
      </c>
      <c r="Q25" s="349"/>
      <c r="R25" s="352" t="e">
        <f t="shared" si="8"/>
        <v>#DIV/0!</v>
      </c>
      <c r="S25" s="198"/>
      <c r="T25" s="215"/>
      <c r="V25" s="185"/>
    </row>
    <row r="26" spans="1:22" ht="20" customHeight="1">
      <c r="A26" s="335">
        <v>8</v>
      </c>
      <c r="B26" s="336" t="s">
        <v>128</v>
      </c>
      <c r="C26" s="337" t="s">
        <v>130</v>
      </c>
      <c r="D26" s="338" t="s">
        <v>129</v>
      </c>
      <c r="E26" s="339">
        <f>'8'!G46</f>
        <v>335000</v>
      </c>
      <c r="F26" s="339" t="s">
        <v>19</v>
      </c>
      <c r="G26" s="340"/>
      <c r="H26" s="346"/>
      <c r="I26" s="347">
        <f>'8'!M43</f>
        <v>0</v>
      </c>
      <c r="J26" s="348"/>
      <c r="K26" s="349"/>
      <c r="L26" s="339">
        <f>+'8'!I46</f>
        <v>335000</v>
      </c>
      <c r="M26" s="349"/>
      <c r="N26" s="350">
        <f>'8'!K46</f>
        <v>335000</v>
      </c>
      <c r="O26" s="349"/>
      <c r="P26" s="351">
        <f t="shared" ref="P26" si="10">E26-L26</f>
        <v>0</v>
      </c>
      <c r="Q26" s="349"/>
      <c r="R26" s="352">
        <f t="shared" ref="R26" si="11">L26/E26</f>
        <v>1</v>
      </c>
      <c r="S26" s="198"/>
      <c r="T26" s="215"/>
      <c r="V26" s="185"/>
    </row>
    <row r="27" spans="1:22" ht="18.75" customHeight="1">
      <c r="A27" s="354">
        <v>9</v>
      </c>
      <c r="B27" s="355" t="s">
        <v>136</v>
      </c>
      <c r="C27" s="337"/>
      <c r="D27" s="356" t="s">
        <v>152</v>
      </c>
      <c r="E27" s="339">
        <f>'9'!G46</f>
        <v>1230000</v>
      </c>
      <c r="F27" s="339" t="s">
        <v>19</v>
      </c>
      <c r="G27" s="357"/>
      <c r="H27" s="346"/>
      <c r="I27" s="347">
        <f>'9'!M43</f>
        <v>0</v>
      </c>
      <c r="J27" s="348"/>
      <c r="K27" s="349"/>
      <c r="L27" s="339">
        <f>+'9'!I46</f>
        <v>1230000</v>
      </c>
      <c r="M27" s="349"/>
      <c r="N27" s="350">
        <f>'9'!K46</f>
        <v>1230000</v>
      </c>
      <c r="O27" s="349"/>
      <c r="P27" s="351">
        <f t="shared" ref="P27" si="12">E27-L27</f>
        <v>0</v>
      </c>
      <c r="Q27" s="349"/>
      <c r="R27" s="352">
        <f t="shared" ref="R27" si="13">L27/E27</f>
        <v>1</v>
      </c>
      <c r="S27" s="198"/>
      <c r="T27" s="215"/>
    </row>
    <row r="28" spans="1:22" ht="20" customHeight="1">
      <c r="A28" s="34"/>
      <c r="B28" s="23" t="s">
        <v>20</v>
      </c>
      <c r="C28" s="35"/>
      <c r="D28" s="35"/>
      <c r="E28" s="36">
        <f>SUM(E18:E27)</f>
        <v>19701711</v>
      </c>
      <c r="F28" s="37"/>
      <c r="G28" s="176"/>
      <c r="H28" s="191"/>
      <c r="I28" s="177">
        <f>SUM(I18:I27)</f>
        <v>614999.99999999988</v>
      </c>
      <c r="J28" s="38"/>
      <c r="K28" s="5"/>
      <c r="L28" s="36">
        <f>SUM(L18:L27)</f>
        <v>19701711</v>
      </c>
      <c r="M28" s="36">
        <f>SUM(M18:M27)</f>
        <v>0</v>
      </c>
      <c r="N28" s="36">
        <f>SUM(N18:N27)</f>
        <v>19086711</v>
      </c>
      <c r="O28" s="219"/>
      <c r="P28" s="36">
        <f>SUM(P18:P27)</f>
        <v>0</v>
      </c>
      <c r="Q28" s="219"/>
      <c r="R28" s="220">
        <f>L28/E28</f>
        <v>1</v>
      </c>
      <c r="S28" s="5"/>
      <c r="T28" s="213"/>
    </row>
    <row r="29" spans="1:22">
      <c r="A29" s="39"/>
      <c r="B29" s="39"/>
      <c r="C29" s="39"/>
      <c r="D29" s="39"/>
      <c r="E29" s="40"/>
      <c r="F29" s="39"/>
      <c r="G29" s="40"/>
      <c r="H29" s="178"/>
      <c r="I29" s="40"/>
      <c r="J29" s="39"/>
      <c r="K29" s="41"/>
      <c r="L29" s="39"/>
      <c r="M29" s="41"/>
      <c r="N29" s="39"/>
      <c r="O29" s="41"/>
      <c r="P29" s="39"/>
      <c r="Q29" s="41"/>
      <c r="S29" s="41"/>
    </row>
    <row r="30" spans="1:22" ht="16">
      <c r="A30" s="42"/>
      <c r="B30" s="42"/>
      <c r="C30" s="42"/>
      <c r="D30" s="43" t="s">
        <v>21</v>
      </c>
      <c r="E30" s="44">
        <f>E28*0.19</f>
        <v>3743325.09</v>
      </c>
      <c r="F30" s="45"/>
      <c r="G30" s="46" t="s">
        <v>21</v>
      </c>
      <c r="H30" s="46"/>
      <c r="I30" s="44">
        <f>+I28*0.19</f>
        <v>116849.99999999999</v>
      </c>
      <c r="J30" s="47"/>
      <c r="K30" s="42"/>
      <c r="L30" s="42"/>
      <c r="M30" s="42"/>
      <c r="N30" s="42"/>
      <c r="O30" s="42"/>
      <c r="P30" s="42"/>
      <c r="Q30" s="42"/>
      <c r="S30" s="42"/>
    </row>
    <row r="31" spans="1:22">
      <c r="A31" s="42"/>
      <c r="B31" s="42"/>
      <c r="C31" s="42"/>
      <c r="D31" s="48"/>
      <c r="E31" s="44">
        <f>SUM(E28:E30)</f>
        <v>23445036.09</v>
      </c>
      <c r="F31" s="47"/>
      <c r="G31" s="42"/>
      <c r="H31" s="41"/>
      <c r="I31" s="44">
        <f>SUM(I28:I30)</f>
        <v>731849.99999999988</v>
      </c>
      <c r="J31" s="47"/>
      <c r="K31" s="42"/>
      <c r="L31" s="42"/>
      <c r="M31" s="42"/>
      <c r="N31" s="42"/>
      <c r="O31" s="42"/>
      <c r="P31" s="42"/>
      <c r="Q31" s="42"/>
      <c r="S31" s="42"/>
    </row>
    <row r="32" spans="1:22">
      <c r="A32" s="42"/>
      <c r="B32" s="218"/>
      <c r="C32" s="42"/>
      <c r="D32" s="42"/>
      <c r="E32" s="39"/>
      <c r="F32" s="42"/>
      <c r="G32" s="42"/>
      <c r="H32" s="41"/>
      <c r="I32" s="39"/>
      <c r="J32" s="42"/>
      <c r="K32" s="42"/>
      <c r="L32" s="42"/>
      <c r="M32" s="42"/>
      <c r="N32" s="42"/>
      <c r="O32" s="42"/>
      <c r="P32" s="42"/>
      <c r="Q32" s="42"/>
      <c r="S32" s="42"/>
    </row>
    <row r="33" spans="1:19">
      <c r="A33" s="42"/>
      <c r="B33" s="218"/>
      <c r="C33" s="42"/>
      <c r="D33" s="42"/>
      <c r="E33" s="19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S33" s="42"/>
    </row>
    <row r="34" spans="1:19">
      <c r="A34" s="42"/>
      <c r="B34" s="42"/>
      <c r="C34" s="42"/>
      <c r="D34" s="42"/>
      <c r="E34" s="19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S34" s="42"/>
    </row>
    <row r="35" spans="1:19">
      <c r="A35" s="42"/>
      <c r="B35" s="42"/>
      <c r="C35" s="42"/>
      <c r="D35" s="42"/>
      <c r="E35" s="19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S35" s="42"/>
    </row>
    <row r="36" spans="1:19">
      <c r="A36" s="42"/>
      <c r="B36" s="42"/>
      <c r="C36" s="42"/>
      <c r="D36" s="42"/>
      <c r="E36" s="192"/>
      <c r="F36" s="42"/>
      <c r="G36" s="42"/>
      <c r="H36" s="42"/>
      <c r="I36" s="42"/>
      <c r="J36" s="42"/>
      <c r="L36" s="49" t="s">
        <v>22</v>
      </c>
      <c r="M36" s="42"/>
      <c r="N36" s="42"/>
      <c r="O36" s="42"/>
      <c r="P36" s="42"/>
      <c r="Q36" s="42"/>
      <c r="S36" s="42"/>
    </row>
    <row r="37" spans="1:19">
      <c r="A37" s="42"/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S37" s="42"/>
    </row>
    <row r="38" spans="1:19">
      <c r="A38" s="50"/>
      <c r="B38" s="50"/>
      <c r="C38" s="50"/>
      <c r="D38" s="50"/>
      <c r="E38" s="50"/>
      <c r="F38" s="50"/>
      <c r="G38" s="50"/>
      <c r="H38" s="50"/>
      <c r="I38" s="50"/>
      <c r="J38" s="50"/>
      <c r="K38" s="50"/>
      <c r="L38" s="50"/>
      <c r="M38" s="50"/>
      <c r="N38" s="50"/>
      <c r="O38" s="50"/>
      <c r="P38" s="50"/>
      <c r="Q38" s="50"/>
      <c r="S38" s="50"/>
    </row>
    <row r="39" spans="1:19">
      <c r="A39" s="50"/>
      <c r="B39" s="50"/>
      <c r="C39" s="50"/>
      <c r="D39" s="50"/>
      <c r="E39" s="50"/>
      <c r="F39" s="50"/>
      <c r="G39" s="50"/>
      <c r="H39" s="50"/>
      <c r="I39" s="50"/>
      <c r="J39" s="50"/>
      <c r="K39" s="50"/>
      <c r="L39" s="50"/>
      <c r="M39" s="50"/>
      <c r="N39" s="50"/>
      <c r="O39" s="50"/>
      <c r="P39" s="50"/>
      <c r="Q39" s="50"/>
      <c r="S39" s="50"/>
    </row>
    <row r="41" spans="1:19">
      <c r="B41"/>
      <c r="C41"/>
      <c r="E41" s="184"/>
      <c r="F41" s="184"/>
    </row>
  </sheetData>
  <mergeCells count="5">
    <mergeCell ref="B11:P11"/>
    <mergeCell ref="B12:P12"/>
    <mergeCell ref="J16:J17"/>
    <mergeCell ref="C9:P9"/>
    <mergeCell ref="C10:H10"/>
  </mergeCells>
  <phoneticPr fontId="31" type="noConversion"/>
  <pageMargins left="0.70866141732283472" right="0.70866141732283472" top="0.74803149606299213" bottom="0.74803149606299213" header="0.31496062992125984" footer="0.31496062992125984"/>
  <pageSetup scale="39" fitToHeight="2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0"/>
    <pageSetUpPr fitToPage="1"/>
  </sheetPr>
  <dimension ref="A1:O57"/>
  <sheetViews>
    <sheetView topLeftCell="A3" zoomScale="70" zoomScaleNormal="70" zoomScalePageLayoutView="70" workbookViewId="0">
      <selection activeCell="I35" sqref="I35"/>
    </sheetView>
  </sheetViews>
  <sheetFormatPr baseColWidth="10" defaultRowHeight="15"/>
  <cols>
    <col min="1" max="1" width="4.33203125" style="51" customWidth="1"/>
    <col min="2" max="2" width="16.5" style="51" customWidth="1"/>
    <col min="3" max="3" width="55.1640625" style="51" customWidth="1"/>
    <col min="4" max="4" width="20.5" style="51" customWidth="1"/>
    <col min="5" max="5" width="21" style="253" customWidth="1"/>
    <col min="6" max="6" width="16" style="51" customWidth="1"/>
    <col min="7" max="7" width="19.5" style="51" customWidth="1"/>
    <col min="8" max="8" width="12.33203125" style="51" customWidth="1"/>
    <col min="9" max="9" width="18.83203125" style="51" customWidth="1"/>
    <col min="10" max="10" width="12.5" style="51" customWidth="1"/>
    <col min="11" max="11" width="19.83203125" style="51" customWidth="1"/>
    <col min="12" max="12" width="13.6640625" style="51" customWidth="1"/>
    <col min="13" max="13" width="23.1640625" style="51" customWidth="1"/>
    <col min="15" max="15" width="19" customWidth="1"/>
  </cols>
  <sheetData>
    <row r="1" spans="1:13">
      <c r="A1" s="1"/>
      <c r="B1" s="1"/>
      <c r="C1" s="1"/>
      <c r="D1" s="1"/>
      <c r="E1" s="236"/>
      <c r="F1" s="1"/>
      <c r="G1" s="1"/>
      <c r="H1" s="1"/>
      <c r="I1" s="1"/>
      <c r="J1" s="1"/>
      <c r="K1" s="1"/>
      <c r="L1" s="1"/>
      <c r="M1" s="1"/>
    </row>
    <row r="2" spans="1:13" ht="16" thickBot="1">
      <c r="A2" s="1"/>
      <c r="B2" s="52"/>
      <c r="C2" s="52"/>
      <c r="D2" s="52"/>
      <c r="E2" s="237"/>
      <c r="F2" s="52"/>
      <c r="G2" s="52"/>
      <c r="H2" s="52"/>
      <c r="I2" s="52"/>
      <c r="J2" s="52"/>
      <c r="K2" s="52"/>
      <c r="L2" s="52"/>
      <c r="M2" s="52"/>
    </row>
    <row r="3" spans="1:13" ht="21">
      <c r="A3" s="53"/>
      <c r="B3" s="388" t="s">
        <v>50</v>
      </c>
      <c r="C3" s="389"/>
      <c r="D3" s="389"/>
      <c r="E3" s="389"/>
      <c r="F3" s="389"/>
      <c r="G3" s="389"/>
      <c r="H3" s="389"/>
      <c r="I3" s="389"/>
      <c r="J3" s="389"/>
      <c r="K3" s="389"/>
      <c r="L3" s="389"/>
      <c r="M3" s="390"/>
    </row>
    <row r="4" spans="1:13">
      <c r="A4" s="53"/>
      <c r="B4" s="54"/>
      <c r="C4" s="55"/>
      <c r="D4" s="55"/>
      <c r="E4" s="238"/>
      <c r="F4" s="55"/>
      <c r="G4" s="56"/>
      <c r="H4" s="57"/>
      <c r="I4" s="55"/>
      <c r="J4" s="57"/>
      <c r="K4" s="55"/>
      <c r="L4" s="55"/>
      <c r="M4" s="58"/>
    </row>
    <row r="5" spans="1:13">
      <c r="A5" s="53"/>
      <c r="B5" s="59"/>
      <c r="C5" s="60"/>
      <c r="D5" s="60"/>
      <c r="E5" s="239"/>
      <c r="F5" s="60"/>
      <c r="G5" s="61"/>
      <c r="H5" s="62"/>
      <c r="I5" s="60"/>
      <c r="J5" s="62"/>
      <c r="K5" s="60"/>
      <c r="L5" s="60"/>
      <c r="M5" s="63" t="str">
        <f>+RESUMEN!D19</f>
        <v>CORREDORA LUZ MARIA CORREA</v>
      </c>
    </row>
    <row r="6" spans="1:13" ht="16">
      <c r="A6" s="53"/>
      <c r="B6" s="64" t="s">
        <v>23</v>
      </c>
      <c r="C6" s="65" t="str">
        <f>+RESUMEN!C9</f>
        <v>REMODELACION BAÑOS SHC LA CALERA</v>
      </c>
      <c r="D6" s="66"/>
      <c r="E6" s="240"/>
      <c r="F6" s="67"/>
      <c r="G6" s="68"/>
      <c r="H6" s="69"/>
      <c r="I6" s="67"/>
      <c r="J6" s="69"/>
      <c r="K6" s="67"/>
      <c r="L6" s="67"/>
      <c r="M6" s="70"/>
    </row>
    <row r="7" spans="1:13" ht="16">
      <c r="A7" s="53"/>
      <c r="B7" s="71" t="s">
        <v>24</v>
      </c>
      <c r="C7" s="72" t="str">
        <f>+RESUMEN!C10</f>
        <v>MALL OPEN PLAZA LA CALERA</v>
      </c>
      <c r="D7" s="73"/>
      <c r="E7" s="241"/>
      <c r="F7" s="74"/>
      <c r="G7" s="75"/>
      <c r="H7" s="76"/>
      <c r="I7" s="77"/>
      <c r="J7" s="78"/>
      <c r="K7" s="74"/>
      <c r="L7" s="74"/>
      <c r="M7" s="79" t="s">
        <v>25</v>
      </c>
    </row>
    <row r="8" spans="1:13" ht="16">
      <c r="A8" s="53"/>
      <c r="B8" s="71" t="s">
        <v>19</v>
      </c>
      <c r="C8" s="171" t="str">
        <f>+RESUMEN!B19</f>
        <v>DPTO 353 CONDOMINIO RAVELLO</v>
      </c>
      <c r="D8" s="73"/>
      <c r="E8" s="241"/>
      <c r="F8" s="74"/>
      <c r="G8" s="75"/>
      <c r="H8" s="76"/>
      <c r="I8" s="74"/>
      <c r="J8" s="76"/>
      <c r="K8" s="74"/>
      <c r="L8" s="74"/>
      <c r="M8" s="80" t="str">
        <f>+RESUMEN!I15</f>
        <v>EEPP#06</v>
      </c>
    </row>
    <row r="9" spans="1:13" ht="16">
      <c r="A9" s="53"/>
      <c r="B9" s="71" t="s">
        <v>26</v>
      </c>
      <c r="C9" s="72"/>
      <c r="D9" s="73"/>
      <c r="E9" s="242"/>
      <c r="F9" s="73"/>
      <c r="G9" s="75"/>
      <c r="H9" s="76"/>
      <c r="I9" s="74"/>
      <c r="J9" s="76"/>
      <c r="K9" s="74"/>
      <c r="L9" s="74"/>
      <c r="M9" s="81"/>
    </row>
    <row r="10" spans="1:13" ht="16">
      <c r="A10" s="53"/>
      <c r="B10" s="82" t="s">
        <v>27</v>
      </c>
      <c r="C10" s="83" t="str">
        <f>+RESUMEN!C19</f>
        <v>77.944.666-2</v>
      </c>
      <c r="D10" s="84"/>
      <c r="E10" s="243"/>
      <c r="F10" s="85"/>
      <c r="G10" s="86"/>
      <c r="H10" s="87"/>
      <c r="I10" s="85"/>
      <c r="J10" s="87"/>
      <c r="K10" s="85"/>
      <c r="L10" s="85"/>
      <c r="M10" s="88"/>
    </row>
    <row r="11" spans="1:13" ht="16">
      <c r="A11" s="53"/>
      <c r="B11" s="82" t="s">
        <v>52</v>
      </c>
      <c r="C11" s="201"/>
      <c r="D11" s="84"/>
      <c r="E11" s="243"/>
      <c r="F11" s="85"/>
      <c r="G11" s="86"/>
      <c r="H11" s="87"/>
      <c r="I11" s="85"/>
      <c r="J11" s="87"/>
      <c r="K11" s="85"/>
      <c r="L11" s="85"/>
      <c r="M11" s="88"/>
    </row>
    <row r="12" spans="1:13">
      <c r="A12" s="53"/>
      <c r="B12" s="391"/>
      <c r="C12" s="392"/>
      <c r="D12" s="392"/>
      <c r="E12" s="392"/>
      <c r="F12" s="392"/>
      <c r="G12" s="392"/>
      <c r="H12" s="392"/>
      <c r="I12" s="392"/>
      <c r="J12" s="392"/>
      <c r="K12" s="392"/>
      <c r="L12" s="392"/>
      <c r="M12" s="393"/>
    </row>
    <row r="13" spans="1:13" ht="16">
      <c r="A13" s="53"/>
      <c r="B13" s="89" t="s">
        <v>28</v>
      </c>
      <c r="C13" s="90"/>
      <c r="D13" s="90"/>
      <c r="E13" s="91">
        <f>G40</f>
        <v>1225000</v>
      </c>
      <c r="F13" s="92"/>
      <c r="G13" s="93"/>
      <c r="H13" s="94"/>
      <c r="I13" s="92"/>
      <c r="J13" s="94"/>
      <c r="K13" s="92"/>
      <c r="L13" s="95" t="s">
        <v>29</v>
      </c>
      <c r="M13" s="96">
        <f>+RESUMEN!I17</f>
        <v>45947</v>
      </c>
    </row>
    <row r="14" spans="1:13">
      <c r="A14" s="53"/>
      <c r="B14" s="97"/>
      <c r="C14" s="92"/>
      <c r="D14" s="92"/>
      <c r="E14" s="244"/>
      <c r="F14" s="92"/>
      <c r="G14" s="93"/>
      <c r="H14" s="94"/>
      <c r="I14" s="92"/>
      <c r="J14" s="94"/>
      <c r="K14" s="92"/>
      <c r="L14" s="92"/>
      <c r="M14" s="98"/>
    </row>
    <row r="15" spans="1:13">
      <c r="A15" s="53"/>
      <c r="B15" s="99"/>
      <c r="C15" s="100"/>
      <c r="D15" s="101"/>
      <c r="E15" s="245"/>
      <c r="F15" s="102"/>
      <c r="G15" s="103" t="s">
        <v>30</v>
      </c>
      <c r="H15" s="394" t="s">
        <v>31</v>
      </c>
      <c r="I15" s="395"/>
      <c r="J15" s="396" t="s">
        <v>32</v>
      </c>
      <c r="K15" s="397"/>
      <c r="L15" s="405" t="s">
        <v>33</v>
      </c>
      <c r="M15" s="406"/>
    </row>
    <row r="16" spans="1:13">
      <c r="A16" s="53"/>
      <c r="B16" s="104" t="s">
        <v>34</v>
      </c>
      <c r="C16" s="400" t="s">
        <v>35</v>
      </c>
      <c r="D16" s="401"/>
      <c r="E16" s="401"/>
      <c r="F16" s="402"/>
      <c r="G16" s="105" t="s">
        <v>16</v>
      </c>
      <c r="H16" s="403" t="s">
        <v>36</v>
      </c>
      <c r="I16" s="404"/>
      <c r="J16" s="398"/>
      <c r="K16" s="399"/>
      <c r="L16" s="407" t="s">
        <v>37</v>
      </c>
      <c r="M16" s="408"/>
    </row>
    <row r="17" spans="1:15">
      <c r="A17" s="53"/>
      <c r="B17" s="106"/>
      <c r="C17" s="107"/>
      <c r="D17" s="257"/>
      <c r="E17" s="258"/>
      <c r="F17" s="259"/>
      <c r="G17" s="181"/>
      <c r="H17" s="108" t="s">
        <v>38</v>
      </c>
      <c r="I17" s="108" t="s">
        <v>39</v>
      </c>
      <c r="J17" s="108" t="s">
        <v>38</v>
      </c>
      <c r="K17" s="108" t="s">
        <v>39</v>
      </c>
      <c r="L17" s="108" t="s">
        <v>38</v>
      </c>
      <c r="M17" s="109" t="s">
        <v>39</v>
      </c>
    </row>
    <row r="18" spans="1:15">
      <c r="A18" s="53"/>
      <c r="B18" s="182"/>
      <c r="C18" s="283" t="s">
        <v>70</v>
      </c>
      <c r="D18" s="261" t="s">
        <v>40</v>
      </c>
      <c r="E18" s="263" t="s">
        <v>41</v>
      </c>
      <c r="F18" s="261" t="s">
        <v>42</v>
      </c>
      <c r="G18" s="256"/>
      <c r="H18" s="179"/>
      <c r="I18" s="110"/>
      <c r="J18" s="111"/>
      <c r="K18" s="110"/>
      <c r="L18" s="111"/>
      <c r="M18" s="112"/>
    </row>
    <row r="19" spans="1:15">
      <c r="A19" s="53"/>
      <c r="B19" s="271">
        <v>1</v>
      </c>
      <c r="C19" s="272" t="s">
        <v>66</v>
      </c>
      <c r="D19" s="273" t="s">
        <v>55</v>
      </c>
      <c r="E19" s="273">
        <v>1</v>
      </c>
      <c r="F19" s="274">
        <v>500000</v>
      </c>
      <c r="G19" s="275">
        <f t="shared" ref="G19" si="0">+F19*E19</f>
        <v>500000</v>
      </c>
      <c r="H19" s="276">
        <v>1</v>
      </c>
      <c r="I19" s="277">
        <f>H19*G19</f>
        <v>500000</v>
      </c>
      <c r="J19" s="276">
        <v>1</v>
      </c>
      <c r="K19" s="277">
        <f>J19*G19</f>
        <v>500000</v>
      </c>
      <c r="L19" s="278">
        <f>H19-J19</f>
        <v>0</v>
      </c>
      <c r="M19" s="279">
        <f>L19*G19</f>
        <v>0</v>
      </c>
      <c r="O19" s="193"/>
    </row>
    <row r="20" spans="1:15">
      <c r="A20" s="53"/>
      <c r="B20" s="271" t="s">
        <v>57</v>
      </c>
      <c r="C20" s="272" t="s">
        <v>67</v>
      </c>
      <c r="D20" s="273" t="s">
        <v>55</v>
      </c>
      <c r="E20" s="273">
        <v>1</v>
      </c>
      <c r="F20" s="274">
        <v>500000</v>
      </c>
      <c r="G20" s="275">
        <f t="shared" ref="G20" si="1">+F20*E20</f>
        <v>500000</v>
      </c>
      <c r="H20" s="276">
        <v>1</v>
      </c>
      <c r="I20" s="277">
        <f>H20*G20</f>
        <v>500000</v>
      </c>
      <c r="J20" s="276">
        <v>1</v>
      </c>
      <c r="K20" s="277">
        <f>J20*G20</f>
        <v>500000</v>
      </c>
      <c r="L20" s="278">
        <f>H20-J20</f>
        <v>0</v>
      </c>
      <c r="M20" s="279">
        <f>L20*G20</f>
        <v>0</v>
      </c>
      <c r="O20" s="193"/>
    </row>
    <row r="21" spans="1:15">
      <c r="A21" s="53"/>
      <c r="B21" s="271" t="s">
        <v>64</v>
      </c>
      <c r="C21" s="272" t="s">
        <v>71</v>
      </c>
      <c r="D21" s="273" t="s">
        <v>55</v>
      </c>
      <c r="E21" s="273">
        <v>1</v>
      </c>
      <c r="F21" s="274">
        <v>225000</v>
      </c>
      <c r="G21" s="275">
        <f t="shared" ref="G21" si="2">+F21*E21</f>
        <v>225000</v>
      </c>
      <c r="H21" s="276">
        <v>1</v>
      </c>
      <c r="I21" s="277">
        <f>H21*G21</f>
        <v>225000</v>
      </c>
      <c r="J21" s="276">
        <v>1</v>
      </c>
      <c r="K21" s="277">
        <f>J21*G21</f>
        <v>225000</v>
      </c>
      <c r="L21" s="278">
        <f>H21-J21</f>
        <v>0</v>
      </c>
      <c r="M21" s="279">
        <f>L21*G21</f>
        <v>0</v>
      </c>
      <c r="O21" s="193"/>
    </row>
    <row r="22" spans="1:15">
      <c r="A22" s="53"/>
      <c r="B22" s="271" t="s">
        <v>80</v>
      </c>
      <c r="C22" s="272" t="s">
        <v>134</v>
      </c>
      <c r="D22" s="273" t="s">
        <v>55</v>
      </c>
      <c r="E22" s="273">
        <v>1</v>
      </c>
      <c r="F22" s="274">
        <v>500000</v>
      </c>
      <c r="G22" s="275">
        <f t="shared" ref="G22" si="3">+F22*E22</f>
        <v>500000</v>
      </c>
      <c r="H22" s="276">
        <v>1</v>
      </c>
      <c r="I22" s="277">
        <f>H22*G22</f>
        <v>500000</v>
      </c>
      <c r="J22" s="276">
        <v>1</v>
      </c>
      <c r="K22" s="277">
        <f>J22*G22</f>
        <v>500000</v>
      </c>
      <c r="L22" s="278">
        <f>H22-J22</f>
        <v>0</v>
      </c>
      <c r="M22" s="279">
        <f>L22*G22</f>
        <v>0</v>
      </c>
      <c r="O22" s="193"/>
    </row>
    <row r="23" spans="1:15">
      <c r="A23" s="53"/>
      <c r="B23" s="271"/>
      <c r="C23" s="272"/>
      <c r="D23" s="273"/>
      <c r="E23" s="273"/>
      <c r="F23" s="274"/>
      <c r="G23" s="275"/>
      <c r="H23" s="276"/>
      <c r="I23" s="277"/>
      <c r="J23" s="276"/>
      <c r="K23" s="277"/>
      <c r="L23" s="278"/>
      <c r="M23" s="279"/>
      <c r="O23" s="193"/>
    </row>
    <row r="24" spans="1:15" ht="14.25" customHeight="1">
      <c r="A24" s="53"/>
      <c r="B24" s="362"/>
      <c r="C24" s="363" t="s">
        <v>135</v>
      </c>
      <c r="D24" s="353" t="s">
        <v>55</v>
      </c>
      <c r="E24" s="288">
        <v>-1</v>
      </c>
      <c r="F24" s="289">
        <v>500000</v>
      </c>
      <c r="G24" s="364">
        <f t="shared" ref="G24" si="4">+F24*E24</f>
        <v>-500000</v>
      </c>
      <c r="H24" s="342">
        <v>1</v>
      </c>
      <c r="I24" s="343">
        <f>H24*G24</f>
        <v>-500000</v>
      </c>
      <c r="J24" s="342">
        <v>1</v>
      </c>
      <c r="K24" s="343">
        <f>J24*G24</f>
        <v>-500000</v>
      </c>
      <c r="L24" s="344">
        <f>H24-J24</f>
        <v>0</v>
      </c>
      <c r="M24" s="345">
        <f>L24*G24</f>
        <v>0</v>
      </c>
      <c r="O24" s="193"/>
    </row>
    <row r="25" spans="1:15">
      <c r="A25" s="53"/>
      <c r="B25" s="267"/>
      <c r="C25" s="254"/>
      <c r="D25" s="265"/>
      <c r="E25" s="266"/>
      <c r="F25" s="182"/>
      <c r="G25" s="255"/>
      <c r="H25" s="180"/>
      <c r="I25" s="114"/>
      <c r="J25" s="180"/>
      <c r="K25" s="114"/>
      <c r="L25" s="113"/>
      <c r="M25" s="115"/>
      <c r="O25" s="193"/>
    </row>
    <row r="26" spans="1:15">
      <c r="A26" s="53"/>
      <c r="B26" s="267"/>
      <c r="C26" s="287" t="s">
        <v>163</v>
      </c>
      <c r="D26" s="265"/>
      <c r="E26" s="266"/>
      <c r="F26" s="182"/>
      <c r="G26" s="255"/>
      <c r="H26" s="180"/>
      <c r="I26" s="114"/>
      <c r="J26" s="180"/>
      <c r="K26" s="114"/>
      <c r="L26" s="113"/>
      <c r="M26" s="115"/>
      <c r="O26" s="193"/>
    </row>
    <row r="27" spans="1:15">
      <c r="A27" s="53"/>
      <c r="B27" s="267"/>
      <c r="C27" s="254"/>
      <c r="D27" s="265"/>
      <c r="E27" s="266"/>
      <c r="F27" s="182"/>
      <c r="G27" s="255"/>
      <c r="H27" s="180"/>
      <c r="I27" s="114"/>
      <c r="J27" s="180"/>
      <c r="K27" s="114"/>
      <c r="L27" s="113"/>
      <c r="M27" s="115"/>
      <c r="O27" s="193"/>
    </row>
    <row r="28" spans="1:15">
      <c r="A28" s="53"/>
      <c r="B28" s="267"/>
      <c r="C28" s="254"/>
      <c r="D28" s="265"/>
      <c r="E28" s="266"/>
      <c r="F28" s="182"/>
      <c r="G28" s="255"/>
      <c r="H28" s="180"/>
      <c r="I28" s="114"/>
      <c r="J28" s="180"/>
      <c r="K28" s="114"/>
      <c r="L28" s="113"/>
      <c r="M28" s="115"/>
      <c r="O28" s="193"/>
    </row>
    <row r="29" spans="1:15">
      <c r="A29" s="53"/>
      <c r="B29" s="267"/>
      <c r="C29" s="254"/>
      <c r="D29" s="265"/>
      <c r="E29" s="266"/>
      <c r="F29" s="182"/>
      <c r="G29" s="255"/>
      <c r="H29" s="180"/>
      <c r="I29" s="114"/>
      <c r="J29" s="180"/>
      <c r="K29" s="114"/>
      <c r="L29" s="113"/>
      <c r="M29" s="115"/>
      <c r="O29" s="193"/>
    </row>
    <row r="30" spans="1:15">
      <c r="A30" s="53"/>
      <c r="B30" s="267"/>
      <c r="C30" s="254"/>
      <c r="D30" s="265"/>
      <c r="E30" s="266"/>
      <c r="F30" s="182"/>
      <c r="G30" s="255"/>
      <c r="H30" s="180"/>
      <c r="I30" s="114"/>
      <c r="J30" s="180"/>
      <c r="K30" s="114"/>
      <c r="L30" s="113"/>
      <c r="M30" s="115"/>
      <c r="O30" s="193"/>
    </row>
    <row r="31" spans="1:15">
      <c r="A31" s="53"/>
      <c r="B31" s="267"/>
      <c r="C31" s="254"/>
      <c r="D31" s="265"/>
      <c r="E31" s="266"/>
      <c r="F31" s="182"/>
      <c r="G31" s="255"/>
      <c r="H31" s="180"/>
      <c r="I31" s="114"/>
      <c r="J31" s="180"/>
      <c r="K31" s="114"/>
      <c r="L31" s="113"/>
      <c r="M31" s="115"/>
      <c r="O31" s="193"/>
    </row>
    <row r="32" spans="1:15">
      <c r="A32" s="53"/>
      <c r="B32" s="267"/>
      <c r="C32" s="254"/>
      <c r="D32" s="265"/>
      <c r="E32" s="266"/>
      <c r="F32" s="182"/>
      <c r="G32" s="255"/>
      <c r="H32" s="180"/>
      <c r="I32" s="114"/>
      <c r="J32" s="180"/>
      <c r="K32" s="114"/>
      <c r="L32" s="113"/>
      <c r="M32" s="115"/>
      <c r="O32" s="193"/>
    </row>
    <row r="33" spans="1:15">
      <c r="A33" s="53"/>
      <c r="B33" s="267"/>
      <c r="C33" s="254"/>
      <c r="D33" s="265"/>
      <c r="E33" s="266"/>
      <c r="F33" s="182"/>
      <c r="G33" s="255"/>
      <c r="H33" s="180"/>
      <c r="I33" s="114"/>
      <c r="J33" s="180"/>
      <c r="K33" s="114"/>
      <c r="L33" s="113"/>
      <c r="M33" s="115"/>
      <c r="O33" s="193"/>
    </row>
    <row r="34" spans="1:15">
      <c r="A34" s="53"/>
      <c r="B34" s="267"/>
      <c r="C34" s="254"/>
      <c r="D34" s="265"/>
      <c r="E34" s="266"/>
      <c r="F34" s="182"/>
      <c r="G34" s="255"/>
      <c r="H34" s="180"/>
      <c r="I34" s="114"/>
      <c r="J34" s="180"/>
      <c r="K34" s="114"/>
      <c r="L34" s="113"/>
      <c r="M34" s="115"/>
      <c r="O34" s="193"/>
    </row>
    <row r="35" spans="1:15">
      <c r="A35" s="53"/>
      <c r="B35" s="267"/>
      <c r="C35" s="254"/>
      <c r="D35" s="265"/>
      <c r="E35" s="266"/>
      <c r="F35" s="182"/>
      <c r="G35" s="255"/>
      <c r="H35" s="180"/>
      <c r="I35" s="114"/>
      <c r="J35" s="180"/>
      <c r="K35" s="114"/>
      <c r="L35" s="113"/>
      <c r="M35" s="115"/>
      <c r="O35" s="193"/>
    </row>
    <row r="36" spans="1:15">
      <c r="A36" s="53"/>
      <c r="B36" s="267"/>
      <c r="C36" s="254"/>
      <c r="D36" s="265"/>
      <c r="E36" s="266"/>
      <c r="F36" s="182"/>
      <c r="G36" s="255"/>
      <c r="H36" s="180"/>
      <c r="I36" s="114"/>
      <c r="J36" s="180"/>
      <c r="K36" s="114"/>
      <c r="L36" s="113"/>
      <c r="M36" s="115"/>
      <c r="O36" s="193"/>
    </row>
    <row r="37" spans="1:15">
      <c r="A37" s="53"/>
      <c r="B37" s="267"/>
      <c r="C37" s="254"/>
      <c r="D37" s="265"/>
      <c r="E37" s="266"/>
      <c r="F37" s="182"/>
      <c r="G37" s="255"/>
      <c r="H37" s="180"/>
      <c r="I37" s="114"/>
      <c r="J37" s="180"/>
      <c r="K37" s="114"/>
      <c r="L37" s="113"/>
      <c r="M37" s="115"/>
      <c r="O37" s="193"/>
    </row>
    <row r="38" spans="1:15">
      <c r="A38" s="53"/>
      <c r="B38" s="267"/>
      <c r="C38" s="254"/>
      <c r="D38" s="265"/>
      <c r="E38" s="266"/>
      <c r="F38" s="182"/>
      <c r="G38" s="255"/>
      <c r="H38" s="180"/>
      <c r="I38" s="114"/>
      <c r="J38" s="180"/>
      <c r="K38" s="114"/>
      <c r="L38" s="113"/>
      <c r="M38" s="115"/>
      <c r="O38" s="193"/>
    </row>
    <row r="39" spans="1:15">
      <c r="A39" s="53"/>
      <c r="B39" s="182"/>
      <c r="C39" s="254"/>
      <c r="D39" s="268"/>
      <c r="E39" s="264"/>
      <c r="F39" s="262"/>
      <c r="G39" s="255"/>
      <c r="H39" s="180"/>
      <c r="I39" s="114"/>
      <c r="J39" s="180"/>
      <c r="K39" s="114"/>
      <c r="L39" s="113"/>
      <c r="M39" s="115"/>
      <c r="O39" s="193"/>
    </row>
    <row r="40" spans="1:15">
      <c r="A40" s="53"/>
      <c r="B40" s="117"/>
      <c r="C40" s="118" t="s">
        <v>43</v>
      </c>
      <c r="D40" s="77"/>
      <c r="E40" s="258"/>
      <c r="F40" s="260"/>
      <c r="G40" s="235">
        <f>SUM(G18:G39)</f>
        <v>1225000</v>
      </c>
      <c r="H40" s="121"/>
      <c r="I40" s="120">
        <f>SUM(I18:I39)</f>
        <v>1225000</v>
      </c>
      <c r="J40" s="122"/>
      <c r="K40" s="120">
        <f>SUM(K18:K39)</f>
        <v>1225000</v>
      </c>
      <c r="L40" s="123"/>
      <c r="M40" s="124">
        <f>SUM(M18:M39)</f>
        <v>0</v>
      </c>
    </row>
    <row r="41" spans="1:15">
      <c r="A41" s="53"/>
      <c r="B41" s="202"/>
      <c r="C41" s="203" t="s">
        <v>44</v>
      </c>
      <c r="D41" s="204"/>
      <c r="E41" s="247"/>
      <c r="F41" s="205"/>
      <c r="G41" s="206"/>
      <c r="H41" s="207"/>
      <c r="I41" s="208">
        <f>I40*F41</f>
        <v>0</v>
      </c>
      <c r="J41" s="209"/>
      <c r="K41" s="208">
        <f>K40*F41</f>
        <v>0</v>
      </c>
      <c r="L41" s="210"/>
      <c r="M41" s="211">
        <f>M40*F41</f>
        <v>0</v>
      </c>
      <c r="O41" s="193"/>
    </row>
    <row r="42" spans="1:15">
      <c r="A42" s="53"/>
      <c r="B42" s="223"/>
      <c r="C42" s="224" t="s">
        <v>58</v>
      </c>
      <c r="D42" s="225"/>
      <c r="E42" s="248"/>
      <c r="F42" s="226"/>
      <c r="G42" s="227">
        <v>0</v>
      </c>
      <c r="H42" s="228">
        <v>0</v>
      </c>
      <c r="I42" s="114">
        <f>H42*G42</f>
        <v>0</v>
      </c>
      <c r="J42" s="113">
        <v>0</v>
      </c>
      <c r="K42" s="114">
        <f>G42*J42</f>
        <v>0</v>
      </c>
      <c r="L42" s="113">
        <f>H42-J42</f>
        <v>0</v>
      </c>
      <c r="M42" s="115">
        <f>L42*G42</f>
        <v>0</v>
      </c>
    </row>
    <row r="43" spans="1:15">
      <c r="A43" s="126"/>
      <c r="B43" s="127"/>
      <c r="C43" s="128" t="s">
        <v>45</v>
      </c>
      <c r="D43" s="129"/>
      <c r="E43" s="249"/>
      <c r="F43" s="130"/>
      <c r="G43" s="131">
        <f>G40-G41+G42</f>
        <v>1225000</v>
      </c>
      <c r="H43" s="4" t="s">
        <v>46</v>
      </c>
      <c r="I43" s="134">
        <f>+I40-I41</f>
        <v>1225000</v>
      </c>
      <c r="J43" s="132"/>
      <c r="K43" s="134">
        <f>+K40-K41</f>
        <v>1225000</v>
      </c>
      <c r="L43" s="133"/>
      <c r="M43" s="134">
        <f>+M40-M41</f>
        <v>0</v>
      </c>
    </row>
    <row r="44" spans="1:15">
      <c r="A44" s="53"/>
      <c r="B44" s="117"/>
      <c r="C44" s="118" t="s">
        <v>47</v>
      </c>
      <c r="D44" s="55"/>
      <c r="E44" s="245"/>
      <c r="F44" s="119"/>
      <c r="G44" s="120">
        <f>G43*19%</f>
        <v>232750</v>
      </c>
      <c r="H44" s="121"/>
      <c r="I44" s="120">
        <f>I43*19%</f>
        <v>232750</v>
      </c>
      <c r="J44" s="122"/>
      <c r="K44" s="120">
        <f>K43*19%</f>
        <v>232750</v>
      </c>
      <c r="L44" s="123"/>
      <c r="M44" s="120">
        <f>+M43*0.19</f>
        <v>0</v>
      </c>
      <c r="O44" s="193"/>
    </row>
    <row r="45" spans="1:15">
      <c r="A45" s="53"/>
      <c r="B45" s="125"/>
      <c r="C45" s="135" t="s">
        <v>48</v>
      </c>
      <c r="D45" s="60"/>
      <c r="E45" s="246"/>
      <c r="F45" s="116"/>
      <c r="G45" s="136">
        <f>SUM(G43:G44)</f>
        <v>1457750</v>
      </c>
      <c r="H45" s="137"/>
      <c r="I45" s="136">
        <f>SUM(I43:I44)</f>
        <v>1457750</v>
      </c>
      <c r="J45" s="138"/>
      <c r="K45" s="136">
        <f>SUM(K43:K44)</f>
        <v>1457750</v>
      </c>
      <c r="L45" s="139"/>
      <c r="M45" s="136">
        <f>SUM(M43:M44)</f>
        <v>0</v>
      </c>
    </row>
    <row r="46" spans="1:15">
      <c r="A46" s="53"/>
      <c r="B46" s="117"/>
      <c r="C46" s="67"/>
      <c r="D46" s="67"/>
      <c r="E46" s="250"/>
      <c r="F46" s="140"/>
      <c r="G46" s="68"/>
      <c r="H46" s="141"/>
      <c r="I46" s="142"/>
      <c r="J46" s="143"/>
      <c r="K46" s="142"/>
      <c r="L46" s="144"/>
      <c r="M46" s="145"/>
      <c r="O46" s="193"/>
    </row>
    <row r="47" spans="1:15">
      <c r="A47" s="53"/>
      <c r="B47" s="146"/>
      <c r="C47" s="147"/>
      <c r="D47" s="147"/>
      <c r="E47" s="230"/>
      <c r="F47" s="148"/>
      <c r="G47" s="149"/>
      <c r="H47" s="150"/>
      <c r="I47" s="151"/>
      <c r="J47" s="152"/>
      <c r="K47" s="151"/>
      <c r="L47" s="153"/>
      <c r="M47" s="154"/>
    </row>
    <row r="48" spans="1:15">
      <c r="A48" s="53"/>
      <c r="B48" s="146"/>
      <c r="C48" s="147"/>
      <c r="D48" s="147"/>
      <c r="E48" s="230"/>
      <c r="F48" s="148"/>
      <c r="G48" s="149"/>
      <c r="H48" s="150"/>
      <c r="I48" s="151"/>
      <c r="J48" s="152"/>
      <c r="K48" s="151"/>
      <c r="L48" s="153"/>
      <c r="M48" s="154"/>
    </row>
    <row r="49" spans="1:13">
      <c r="A49" s="53"/>
      <c r="B49" s="155"/>
      <c r="C49" s="147"/>
      <c r="D49" s="147"/>
      <c r="E49" s="230"/>
      <c r="F49" s="147"/>
      <c r="G49" s="147"/>
      <c r="H49" s="156"/>
      <c r="I49" s="157"/>
      <c r="J49" s="158"/>
      <c r="K49" s="159"/>
      <c r="L49" s="158"/>
      <c r="M49" s="160"/>
    </row>
    <row r="50" spans="1:13">
      <c r="A50" s="53"/>
      <c r="B50" s="161"/>
      <c r="C50" s="77"/>
      <c r="D50" s="77"/>
      <c r="E50" s="251"/>
      <c r="F50" s="77"/>
      <c r="G50" s="162"/>
      <c r="H50" s="78"/>
      <c r="I50" s="77"/>
      <c r="J50" s="78"/>
      <c r="K50" s="77"/>
      <c r="L50" s="77"/>
      <c r="M50" s="163"/>
    </row>
    <row r="51" spans="1:13">
      <c r="A51" s="53"/>
      <c r="B51" s="155"/>
      <c r="C51" s="376"/>
      <c r="D51" s="377"/>
      <c r="E51" s="377"/>
      <c r="F51" s="378"/>
      <c r="G51" s="379"/>
      <c r="H51" s="380"/>
      <c r="I51" s="380"/>
      <c r="J51" s="381"/>
      <c r="K51" s="77"/>
      <c r="L51" s="77"/>
      <c r="M51" s="163"/>
    </row>
    <row r="52" spans="1:13">
      <c r="A52" s="53"/>
      <c r="B52" s="59"/>
      <c r="C52" s="60"/>
      <c r="D52" s="60"/>
      <c r="E52" s="239"/>
      <c r="F52" s="60"/>
      <c r="G52" s="61"/>
      <c r="H52" s="62"/>
      <c r="I52" s="60"/>
      <c r="J52" s="62"/>
      <c r="K52" s="60"/>
      <c r="L52" s="60"/>
      <c r="M52" s="164"/>
    </row>
    <row r="53" spans="1:13">
      <c r="A53" s="53"/>
      <c r="B53" s="165"/>
      <c r="C53" s="382"/>
      <c r="D53" s="383"/>
      <c r="E53" s="383"/>
      <c r="F53" s="383"/>
      <c r="G53" s="384"/>
      <c r="H53" s="385" t="s">
        <v>49</v>
      </c>
      <c r="I53" s="386"/>
      <c r="J53" s="386"/>
      <c r="K53" s="386"/>
      <c r="L53" s="386"/>
      <c r="M53" s="387"/>
    </row>
    <row r="54" spans="1:13">
      <c r="A54" s="53"/>
      <c r="B54" s="161"/>
      <c r="C54" s="77"/>
      <c r="D54" s="77"/>
      <c r="E54" s="251"/>
      <c r="F54" s="77"/>
      <c r="G54" s="162"/>
      <c r="H54" s="78"/>
      <c r="I54" s="77"/>
      <c r="J54" s="78"/>
      <c r="K54" s="77"/>
      <c r="L54" s="77"/>
      <c r="M54" s="163"/>
    </row>
    <row r="55" spans="1:13" ht="16" thickBot="1">
      <c r="A55" s="53"/>
      <c r="B55" s="166"/>
      <c r="C55" s="167"/>
      <c r="D55" s="167"/>
      <c r="E55" s="252"/>
      <c r="F55" s="167"/>
      <c r="G55" s="168"/>
      <c r="H55" s="169"/>
      <c r="I55" s="167"/>
      <c r="J55" s="169"/>
      <c r="K55" s="167"/>
      <c r="L55" s="167"/>
      <c r="M55" s="170"/>
    </row>
    <row r="57" spans="1:13">
      <c r="G57" s="229"/>
    </row>
  </sheetData>
  <mergeCells count="12">
    <mergeCell ref="C51:F51"/>
    <mergeCell ref="G51:J51"/>
    <mergeCell ref="C53:G53"/>
    <mergeCell ref="H53:M53"/>
    <mergeCell ref="B3:M3"/>
    <mergeCell ref="B12:M12"/>
    <mergeCell ref="H15:I15"/>
    <mergeCell ref="J15:K16"/>
    <mergeCell ref="C16:F16"/>
    <mergeCell ref="H16:I16"/>
    <mergeCell ref="L15:M15"/>
    <mergeCell ref="L16:M16"/>
  </mergeCells>
  <phoneticPr fontId="31" type="noConversion"/>
  <pageMargins left="0.70000000000000007" right="0.70000000000000007" top="0.75000000000000011" bottom="0.75000000000000011" header="0.30000000000000004" footer="0.30000000000000004"/>
  <pageSetup scale="32" orientation="landscape" horizontalDpi="4294967292" verticalDpi="4294967292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6F4D9-666C-4346-83F9-C216A32C6EC2}">
  <sheetPr>
    <tabColor theme="0"/>
    <pageSetUpPr fitToPage="1"/>
  </sheetPr>
  <dimension ref="A1:O57"/>
  <sheetViews>
    <sheetView topLeftCell="A10" zoomScale="70" zoomScaleNormal="70" zoomScalePageLayoutView="70" workbookViewId="0">
      <selection activeCell="D28" sqref="D28"/>
    </sheetView>
  </sheetViews>
  <sheetFormatPr baseColWidth="10" defaultRowHeight="15"/>
  <cols>
    <col min="1" max="1" width="4.33203125" style="51" customWidth="1"/>
    <col min="2" max="2" width="16.5" style="51" customWidth="1"/>
    <col min="3" max="3" width="55.1640625" style="51" customWidth="1"/>
    <col min="4" max="4" width="20.5" style="51" customWidth="1"/>
    <col min="5" max="5" width="21" style="253" customWidth="1"/>
    <col min="6" max="6" width="16" style="51" customWidth="1"/>
    <col min="7" max="7" width="19.5" style="51" customWidth="1"/>
    <col min="8" max="8" width="12.33203125" style="51" customWidth="1"/>
    <col min="9" max="9" width="18.83203125" style="51" customWidth="1"/>
    <col min="10" max="10" width="12.5" style="51" customWidth="1"/>
    <col min="11" max="11" width="19.83203125" style="51" customWidth="1"/>
    <col min="12" max="12" width="13.6640625" style="51" customWidth="1"/>
    <col min="13" max="13" width="23.1640625" style="51" customWidth="1"/>
    <col min="15" max="15" width="19" customWidth="1"/>
  </cols>
  <sheetData>
    <row r="1" spans="1:13">
      <c r="A1" s="1"/>
      <c r="B1" s="1"/>
      <c r="C1" s="1"/>
      <c r="D1" s="1"/>
      <c r="E1" s="236"/>
      <c r="F1" s="1"/>
      <c r="G1" s="1"/>
      <c r="H1" s="1"/>
      <c r="I1" s="1"/>
      <c r="J1" s="1"/>
      <c r="K1" s="1"/>
      <c r="L1" s="1"/>
      <c r="M1" s="1"/>
    </row>
    <row r="2" spans="1:13" ht="16" thickBot="1">
      <c r="A2" s="1"/>
      <c r="B2" s="52"/>
      <c r="C2" s="52"/>
      <c r="D2" s="52"/>
      <c r="E2" s="237"/>
      <c r="F2" s="52"/>
      <c r="G2" s="52"/>
      <c r="H2" s="52"/>
      <c r="I2" s="52"/>
      <c r="J2" s="52"/>
      <c r="K2" s="52"/>
      <c r="L2" s="52"/>
      <c r="M2" s="52"/>
    </row>
    <row r="3" spans="1:13" ht="21">
      <c r="A3" s="53"/>
      <c r="B3" s="388" t="s">
        <v>50</v>
      </c>
      <c r="C3" s="389"/>
      <c r="D3" s="389"/>
      <c r="E3" s="389"/>
      <c r="F3" s="389"/>
      <c r="G3" s="389"/>
      <c r="H3" s="389"/>
      <c r="I3" s="389"/>
      <c r="J3" s="389"/>
      <c r="K3" s="389"/>
      <c r="L3" s="389"/>
      <c r="M3" s="390"/>
    </row>
    <row r="4" spans="1:13">
      <c r="A4" s="53"/>
      <c r="B4" s="54"/>
      <c r="C4" s="55"/>
      <c r="D4" s="55"/>
      <c r="E4" s="238"/>
      <c r="F4" s="55"/>
      <c r="G4" s="56"/>
      <c r="H4" s="57"/>
      <c r="I4" s="55"/>
      <c r="J4" s="57"/>
      <c r="K4" s="55"/>
      <c r="L4" s="55"/>
      <c r="M4" s="58"/>
    </row>
    <row r="5" spans="1:13">
      <c r="A5" s="53"/>
      <c r="B5" s="59"/>
      <c r="C5" s="60"/>
      <c r="D5" s="60"/>
      <c r="E5" s="239"/>
      <c r="F5" s="60"/>
      <c r="G5" s="61"/>
      <c r="H5" s="62"/>
      <c r="I5" s="60"/>
      <c r="J5" s="62"/>
      <c r="K5" s="60"/>
      <c r="L5" s="60"/>
      <c r="M5" s="63" t="str">
        <f>+RESUMEN!D19</f>
        <v>CORREDORA LUZ MARIA CORREA</v>
      </c>
    </row>
    <row r="6" spans="1:13" ht="16">
      <c r="A6" s="53"/>
      <c r="B6" s="64" t="s">
        <v>23</v>
      </c>
      <c r="C6" s="65" t="str">
        <f>+RESUMEN!C9</f>
        <v>REMODELACION BAÑOS SHC LA CALERA</v>
      </c>
      <c r="D6" s="66"/>
      <c r="E6" s="240"/>
      <c r="F6" s="67"/>
      <c r="G6" s="68"/>
      <c r="H6" s="69"/>
      <c r="I6" s="67"/>
      <c r="J6" s="69"/>
      <c r="K6" s="67"/>
      <c r="L6" s="67"/>
      <c r="M6" s="70"/>
    </row>
    <row r="7" spans="1:13" ht="16">
      <c r="A7" s="53"/>
      <c r="B7" s="71" t="s">
        <v>24</v>
      </c>
      <c r="C7" s="72" t="str">
        <f>+RESUMEN!C10</f>
        <v>MALL OPEN PLAZA LA CALERA</v>
      </c>
      <c r="D7" s="73"/>
      <c r="E7" s="241"/>
      <c r="F7" s="74"/>
      <c r="G7" s="75"/>
      <c r="H7" s="76"/>
      <c r="I7" s="77"/>
      <c r="J7" s="78"/>
      <c r="K7" s="74"/>
      <c r="L7" s="74"/>
      <c r="M7" s="79" t="s">
        <v>25</v>
      </c>
    </row>
    <row r="8" spans="1:13" ht="16">
      <c r="A8" s="53"/>
      <c r="B8" s="71" t="s">
        <v>19</v>
      </c>
      <c r="C8" s="171" t="str">
        <f>+RESUMEN!B20</f>
        <v>DPTO 752 CONDOMINIO RAVELLO</v>
      </c>
      <c r="D8" s="73"/>
      <c r="E8" s="241"/>
      <c r="F8" s="74"/>
      <c r="G8" s="75"/>
      <c r="H8" s="76"/>
      <c r="I8" s="74"/>
      <c r="J8" s="76"/>
      <c r="K8" s="74"/>
      <c r="L8" s="74"/>
      <c r="M8" s="80" t="str">
        <f>+RESUMEN!I15</f>
        <v>EEPP#06</v>
      </c>
    </row>
    <row r="9" spans="1:13" ht="16">
      <c r="A9" s="53"/>
      <c r="B9" s="71" t="s">
        <v>26</v>
      </c>
      <c r="C9" s="72"/>
      <c r="D9" s="73"/>
      <c r="E9" s="242"/>
      <c r="F9" s="73"/>
      <c r="G9" s="75"/>
      <c r="H9" s="76"/>
      <c r="I9" s="74"/>
      <c r="J9" s="76"/>
      <c r="K9" s="74"/>
      <c r="L9" s="74"/>
      <c r="M9" s="81"/>
    </row>
    <row r="10" spans="1:13" ht="16">
      <c r="A10" s="53"/>
      <c r="B10" s="82" t="s">
        <v>27</v>
      </c>
      <c r="C10" s="83" t="str">
        <f>+RESUMEN!C20</f>
        <v>11.520.369-K</v>
      </c>
      <c r="D10" s="84"/>
      <c r="E10" s="243"/>
      <c r="F10" s="85"/>
      <c r="G10" s="86"/>
      <c r="H10" s="87"/>
      <c r="I10" s="85"/>
      <c r="J10" s="87"/>
      <c r="K10" s="85"/>
      <c r="L10" s="85"/>
      <c r="M10" s="88"/>
    </row>
    <row r="11" spans="1:13" ht="16">
      <c r="A11" s="53"/>
      <c r="B11" s="82" t="s">
        <v>52</v>
      </c>
      <c r="C11" s="201"/>
      <c r="D11" s="84"/>
      <c r="E11" s="243"/>
      <c r="F11" s="85"/>
      <c r="G11" s="86"/>
      <c r="H11" s="87"/>
      <c r="I11" s="85"/>
      <c r="J11" s="87"/>
      <c r="K11" s="85"/>
      <c r="L11" s="85"/>
      <c r="M11" s="88"/>
    </row>
    <row r="12" spans="1:13">
      <c r="A12" s="53"/>
      <c r="B12" s="391"/>
      <c r="C12" s="392"/>
      <c r="D12" s="392"/>
      <c r="E12" s="392"/>
      <c r="F12" s="392"/>
      <c r="G12" s="392"/>
      <c r="H12" s="392"/>
      <c r="I12" s="392"/>
      <c r="J12" s="392"/>
      <c r="K12" s="392"/>
      <c r="L12" s="392"/>
      <c r="M12" s="393"/>
    </row>
    <row r="13" spans="1:13" ht="16">
      <c r="A13" s="53"/>
      <c r="B13" s="89" t="s">
        <v>28</v>
      </c>
      <c r="C13" s="90"/>
      <c r="D13" s="90"/>
      <c r="E13" s="91">
        <f>G40</f>
        <v>1225000</v>
      </c>
      <c r="F13" s="92"/>
      <c r="G13" s="93"/>
      <c r="H13" s="94"/>
      <c r="I13" s="92"/>
      <c r="J13" s="94"/>
      <c r="K13" s="92"/>
      <c r="L13" s="95" t="s">
        <v>29</v>
      </c>
      <c r="M13" s="96">
        <f>+RESUMEN!I17</f>
        <v>45947</v>
      </c>
    </row>
    <row r="14" spans="1:13">
      <c r="A14" s="53"/>
      <c r="B14" s="97"/>
      <c r="C14" s="92"/>
      <c r="D14" s="92"/>
      <c r="E14" s="244"/>
      <c r="F14" s="92"/>
      <c r="G14" s="93"/>
      <c r="H14" s="94"/>
      <c r="I14" s="92"/>
      <c r="J14" s="94"/>
      <c r="K14" s="92"/>
      <c r="L14" s="92"/>
      <c r="M14" s="98"/>
    </row>
    <row r="15" spans="1:13">
      <c r="A15" s="53"/>
      <c r="B15" s="99"/>
      <c r="C15" s="100"/>
      <c r="D15" s="101"/>
      <c r="E15" s="245"/>
      <c r="F15" s="102"/>
      <c r="G15" s="103" t="s">
        <v>30</v>
      </c>
      <c r="H15" s="394" t="s">
        <v>31</v>
      </c>
      <c r="I15" s="395"/>
      <c r="J15" s="396" t="s">
        <v>32</v>
      </c>
      <c r="K15" s="397"/>
      <c r="L15" s="405" t="s">
        <v>33</v>
      </c>
      <c r="M15" s="406"/>
    </row>
    <row r="16" spans="1:13">
      <c r="A16" s="53"/>
      <c r="B16" s="104" t="s">
        <v>34</v>
      </c>
      <c r="C16" s="400" t="s">
        <v>35</v>
      </c>
      <c r="D16" s="401"/>
      <c r="E16" s="401"/>
      <c r="F16" s="402"/>
      <c r="G16" s="105" t="s">
        <v>16</v>
      </c>
      <c r="H16" s="403" t="s">
        <v>36</v>
      </c>
      <c r="I16" s="404"/>
      <c r="J16" s="398"/>
      <c r="K16" s="399"/>
      <c r="L16" s="407" t="s">
        <v>37</v>
      </c>
      <c r="M16" s="408"/>
    </row>
    <row r="17" spans="1:15">
      <c r="A17" s="53"/>
      <c r="B17" s="106"/>
      <c r="C17" s="107"/>
      <c r="D17" s="257"/>
      <c r="E17" s="258"/>
      <c r="F17" s="259"/>
      <c r="G17" s="181"/>
      <c r="H17" s="108" t="s">
        <v>38</v>
      </c>
      <c r="I17" s="108" t="s">
        <v>39</v>
      </c>
      <c r="J17" s="108" t="s">
        <v>38</v>
      </c>
      <c r="K17" s="108" t="s">
        <v>39</v>
      </c>
      <c r="L17" s="108" t="s">
        <v>38</v>
      </c>
      <c r="M17" s="109" t="s">
        <v>39</v>
      </c>
    </row>
    <row r="18" spans="1:15">
      <c r="A18" s="53"/>
      <c r="B18" s="182"/>
      <c r="C18" s="283" t="s">
        <v>69</v>
      </c>
      <c r="D18" s="261" t="s">
        <v>40</v>
      </c>
      <c r="E18" s="263" t="s">
        <v>41</v>
      </c>
      <c r="F18" s="261" t="s">
        <v>42</v>
      </c>
      <c r="G18" s="256"/>
      <c r="H18" s="179"/>
      <c r="I18" s="110"/>
      <c r="J18" s="111"/>
      <c r="K18" s="110"/>
      <c r="L18" s="111"/>
      <c r="M18" s="112"/>
    </row>
    <row r="19" spans="1:15">
      <c r="A19" s="53"/>
      <c r="B19" s="271">
        <v>1</v>
      </c>
      <c r="C19" s="272" t="s">
        <v>66</v>
      </c>
      <c r="D19" s="273" t="s">
        <v>55</v>
      </c>
      <c r="E19" s="273">
        <v>1</v>
      </c>
      <c r="F19" s="274">
        <v>500000</v>
      </c>
      <c r="G19" s="275">
        <f t="shared" ref="G19:G24" si="0">+F19*E19</f>
        <v>500000</v>
      </c>
      <c r="H19" s="276">
        <v>1</v>
      </c>
      <c r="I19" s="277">
        <f>H19*G19</f>
        <v>500000</v>
      </c>
      <c r="J19" s="276">
        <v>1</v>
      </c>
      <c r="K19" s="277">
        <f>J19*G19</f>
        <v>500000</v>
      </c>
      <c r="L19" s="278">
        <f>H19-J19</f>
        <v>0</v>
      </c>
      <c r="M19" s="279">
        <f>L19*G19</f>
        <v>0</v>
      </c>
      <c r="O19" s="193"/>
    </row>
    <row r="20" spans="1:15">
      <c r="A20" s="53"/>
      <c r="B20" s="271" t="s">
        <v>57</v>
      </c>
      <c r="C20" s="272" t="s">
        <v>67</v>
      </c>
      <c r="D20" s="273" t="s">
        <v>55</v>
      </c>
      <c r="E20" s="273">
        <v>1</v>
      </c>
      <c r="F20" s="274">
        <v>500000</v>
      </c>
      <c r="G20" s="275">
        <f t="shared" si="0"/>
        <v>500000</v>
      </c>
      <c r="H20" s="276">
        <v>1</v>
      </c>
      <c r="I20" s="277">
        <f>H20*G20</f>
        <v>500000</v>
      </c>
      <c r="J20" s="276">
        <v>1</v>
      </c>
      <c r="K20" s="277">
        <f>J20*G20</f>
        <v>500000</v>
      </c>
      <c r="L20" s="278">
        <f>H20-J20</f>
        <v>0</v>
      </c>
      <c r="M20" s="279">
        <f>L20*G20</f>
        <v>0</v>
      </c>
      <c r="O20" s="193"/>
    </row>
    <row r="21" spans="1:15">
      <c r="A21" s="53"/>
      <c r="B21" s="271" t="s">
        <v>64</v>
      </c>
      <c r="C21" s="272" t="s">
        <v>71</v>
      </c>
      <c r="D21" s="273" t="s">
        <v>55</v>
      </c>
      <c r="E21" s="273">
        <v>1</v>
      </c>
      <c r="F21" s="274">
        <v>225000</v>
      </c>
      <c r="G21" s="275">
        <f t="shared" si="0"/>
        <v>225000</v>
      </c>
      <c r="H21" s="276">
        <v>1</v>
      </c>
      <c r="I21" s="277">
        <f>H21*G21</f>
        <v>225000</v>
      </c>
      <c r="J21" s="276">
        <v>1</v>
      </c>
      <c r="K21" s="277">
        <f>J21*G21</f>
        <v>225000</v>
      </c>
      <c r="L21" s="278">
        <f>H21-J21</f>
        <v>0</v>
      </c>
      <c r="M21" s="279">
        <f>L21*G21</f>
        <v>0</v>
      </c>
      <c r="O21" s="193"/>
    </row>
    <row r="22" spans="1:15">
      <c r="A22" s="53"/>
      <c r="B22" s="271" t="s">
        <v>80</v>
      </c>
      <c r="C22" s="272" t="s">
        <v>79</v>
      </c>
      <c r="D22" s="273" t="s">
        <v>55</v>
      </c>
      <c r="E22" s="273">
        <v>1</v>
      </c>
      <c r="F22" s="274">
        <v>500000</v>
      </c>
      <c r="G22" s="275">
        <f t="shared" si="0"/>
        <v>500000</v>
      </c>
      <c r="H22" s="276">
        <v>1</v>
      </c>
      <c r="I22" s="277">
        <f>H22*G22</f>
        <v>500000</v>
      </c>
      <c r="J22" s="276">
        <v>1</v>
      </c>
      <c r="K22" s="277">
        <f>J22*G22</f>
        <v>500000</v>
      </c>
      <c r="L22" s="278">
        <f>H22-J22</f>
        <v>0</v>
      </c>
      <c r="M22" s="279">
        <f>L22*G22</f>
        <v>0</v>
      </c>
      <c r="O22" s="193"/>
    </row>
    <row r="23" spans="1:15">
      <c r="A23" s="53"/>
      <c r="B23" s="271"/>
      <c r="C23" s="272"/>
      <c r="D23" s="273"/>
      <c r="E23" s="273"/>
      <c r="F23" s="274"/>
      <c r="G23" s="275"/>
      <c r="H23" s="276"/>
      <c r="I23" s="277"/>
      <c r="J23" s="276"/>
      <c r="K23" s="277"/>
      <c r="L23" s="278"/>
      <c r="M23" s="279"/>
      <c r="O23" s="193"/>
    </row>
    <row r="24" spans="1:15" ht="14.25" customHeight="1">
      <c r="A24" s="53"/>
      <c r="B24" s="267"/>
      <c r="C24" s="363" t="s">
        <v>135</v>
      </c>
      <c r="D24" s="353" t="s">
        <v>55</v>
      </c>
      <c r="E24" s="288">
        <v>-1</v>
      </c>
      <c r="F24" s="289">
        <v>500000</v>
      </c>
      <c r="G24" s="364">
        <f t="shared" si="0"/>
        <v>-500000</v>
      </c>
      <c r="H24" s="342">
        <v>1</v>
      </c>
      <c r="I24" s="343">
        <f>H24*G24</f>
        <v>-500000</v>
      </c>
      <c r="J24" s="342">
        <v>1</v>
      </c>
      <c r="K24" s="343">
        <f>J24*G24</f>
        <v>-500000</v>
      </c>
      <c r="L24" s="344">
        <f>H24-J24</f>
        <v>0</v>
      </c>
      <c r="M24" s="345">
        <f>L24*G24</f>
        <v>0</v>
      </c>
      <c r="O24" s="193"/>
    </row>
    <row r="25" spans="1:15">
      <c r="A25" s="53"/>
      <c r="B25" s="267"/>
      <c r="C25" s="254"/>
      <c r="D25" s="265"/>
      <c r="E25" s="266"/>
      <c r="F25" s="182"/>
      <c r="G25" s="255"/>
      <c r="H25" s="180"/>
      <c r="I25" s="114"/>
      <c r="J25" s="180"/>
      <c r="K25" s="114"/>
      <c r="L25" s="113"/>
      <c r="M25" s="115"/>
      <c r="O25" s="193"/>
    </row>
    <row r="26" spans="1:15">
      <c r="A26" s="53"/>
      <c r="B26" s="267"/>
      <c r="C26" s="287" t="s">
        <v>163</v>
      </c>
      <c r="D26" s="265"/>
      <c r="E26" s="266"/>
      <c r="F26" s="182"/>
      <c r="G26" s="255"/>
      <c r="H26" s="180"/>
      <c r="I26" s="114"/>
      <c r="J26" s="180"/>
      <c r="K26" s="114"/>
      <c r="L26" s="113"/>
      <c r="M26" s="115"/>
      <c r="O26" s="193"/>
    </row>
    <row r="27" spans="1:15">
      <c r="A27" s="53"/>
      <c r="B27" s="267"/>
      <c r="C27" s="254"/>
      <c r="D27" s="265"/>
      <c r="E27" s="266"/>
      <c r="F27" s="182"/>
      <c r="G27" s="255"/>
      <c r="H27" s="180"/>
      <c r="I27" s="114"/>
      <c r="J27" s="180"/>
      <c r="K27" s="114"/>
      <c r="L27" s="113"/>
      <c r="M27" s="115"/>
      <c r="O27" s="193"/>
    </row>
    <row r="28" spans="1:15">
      <c r="A28" s="53"/>
      <c r="B28" s="267"/>
      <c r="C28" s="254"/>
      <c r="D28" s="265"/>
      <c r="E28" s="266"/>
      <c r="F28" s="182"/>
      <c r="G28" s="255"/>
      <c r="H28" s="180"/>
      <c r="I28" s="114"/>
      <c r="J28" s="180"/>
      <c r="K28" s="114"/>
      <c r="L28" s="113"/>
      <c r="M28" s="115"/>
      <c r="O28" s="193"/>
    </row>
    <row r="29" spans="1:15">
      <c r="A29" s="53"/>
      <c r="B29" s="267"/>
      <c r="C29" s="254"/>
      <c r="D29" s="265"/>
      <c r="E29" s="266"/>
      <c r="F29" s="182"/>
      <c r="G29" s="255"/>
      <c r="H29" s="180"/>
      <c r="I29" s="114"/>
      <c r="J29" s="180"/>
      <c r="K29" s="114"/>
      <c r="L29" s="113"/>
      <c r="M29" s="115"/>
      <c r="O29" s="193"/>
    </row>
    <row r="30" spans="1:15">
      <c r="A30" s="53"/>
      <c r="B30" s="267"/>
      <c r="C30" s="254"/>
      <c r="D30" s="265"/>
      <c r="E30" s="266"/>
      <c r="F30" s="182"/>
      <c r="G30" s="255"/>
      <c r="H30" s="180"/>
      <c r="I30" s="114"/>
      <c r="J30" s="180"/>
      <c r="K30" s="114"/>
      <c r="L30" s="113"/>
      <c r="M30" s="115"/>
      <c r="O30" s="193"/>
    </row>
    <row r="31" spans="1:15">
      <c r="A31" s="53"/>
      <c r="B31" s="267"/>
      <c r="C31" s="254"/>
      <c r="D31" s="265"/>
      <c r="E31" s="266"/>
      <c r="F31" s="182"/>
      <c r="G31" s="255"/>
      <c r="H31" s="180"/>
      <c r="I31" s="114"/>
      <c r="J31" s="180"/>
      <c r="K31" s="114"/>
      <c r="L31" s="113"/>
      <c r="M31" s="115"/>
      <c r="O31" s="193"/>
    </row>
    <row r="32" spans="1:15">
      <c r="A32" s="53"/>
      <c r="B32" s="267"/>
      <c r="C32" s="254"/>
      <c r="D32" s="265"/>
      <c r="E32" s="266"/>
      <c r="F32" s="182"/>
      <c r="G32" s="255"/>
      <c r="H32" s="180"/>
      <c r="I32" s="114"/>
      <c r="J32" s="180"/>
      <c r="K32" s="114"/>
      <c r="L32" s="113"/>
      <c r="M32" s="115"/>
      <c r="O32" s="193"/>
    </row>
    <row r="33" spans="1:15">
      <c r="A33" s="53"/>
      <c r="B33" s="267"/>
      <c r="C33" s="254"/>
      <c r="D33" s="265"/>
      <c r="E33" s="266"/>
      <c r="F33" s="182"/>
      <c r="G33" s="255"/>
      <c r="H33" s="180"/>
      <c r="I33" s="114"/>
      <c r="J33" s="180"/>
      <c r="K33" s="114"/>
      <c r="L33" s="113"/>
      <c r="M33" s="115"/>
      <c r="O33" s="193"/>
    </row>
    <row r="34" spans="1:15">
      <c r="A34" s="53"/>
      <c r="B34" s="267"/>
      <c r="C34" s="254"/>
      <c r="D34" s="265"/>
      <c r="E34" s="266"/>
      <c r="F34" s="182"/>
      <c r="G34" s="255"/>
      <c r="H34" s="180"/>
      <c r="I34" s="114"/>
      <c r="J34" s="180"/>
      <c r="K34" s="114"/>
      <c r="L34" s="113"/>
      <c r="M34" s="115"/>
      <c r="O34" s="193"/>
    </row>
    <row r="35" spans="1:15">
      <c r="A35" s="53"/>
      <c r="B35" s="267"/>
      <c r="C35" s="254"/>
      <c r="D35" s="265"/>
      <c r="E35" s="266"/>
      <c r="F35" s="182"/>
      <c r="G35" s="255"/>
      <c r="H35" s="180"/>
      <c r="I35" s="114"/>
      <c r="J35" s="180"/>
      <c r="K35" s="114"/>
      <c r="L35" s="113"/>
      <c r="M35" s="115"/>
      <c r="O35" s="193"/>
    </row>
    <row r="36" spans="1:15">
      <c r="A36" s="53"/>
      <c r="B36" s="267"/>
      <c r="C36" s="254"/>
      <c r="D36" s="265"/>
      <c r="E36" s="266"/>
      <c r="F36" s="182"/>
      <c r="G36" s="255"/>
      <c r="H36" s="180"/>
      <c r="I36" s="114"/>
      <c r="J36" s="180"/>
      <c r="K36" s="114"/>
      <c r="L36" s="113"/>
      <c r="M36" s="115"/>
      <c r="O36" s="193"/>
    </row>
    <row r="37" spans="1:15">
      <c r="A37" s="53"/>
      <c r="B37" s="267"/>
      <c r="C37" s="254"/>
      <c r="D37" s="265"/>
      <c r="E37" s="266"/>
      <c r="F37" s="182"/>
      <c r="G37" s="255"/>
      <c r="H37" s="180"/>
      <c r="I37" s="114"/>
      <c r="J37" s="180"/>
      <c r="K37" s="114"/>
      <c r="L37" s="113"/>
      <c r="M37" s="115"/>
      <c r="O37" s="193"/>
    </row>
    <row r="38" spans="1:15">
      <c r="A38" s="53"/>
      <c r="B38" s="267"/>
      <c r="C38" s="254"/>
      <c r="D38" s="265"/>
      <c r="E38" s="266"/>
      <c r="F38" s="182"/>
      <c r="G38" s="255"/>
      <c r="H38" s="180"/>
      <c r="I38" s="114"/>
      <c r="J38" s="180"/>
      <c r="K38" s="114"/>
      <c r="L38" s="113"/>
      <c r="M38" s="115"/>
      <c r="O38" s="193"/>
    </row>
    <row r="39" spans="1:15">
      <c r="A39" s="53"/>
      <c r="B39" s="182"/>
      <c r="C39" s="254"/>
      <c r="D39" s="268"/>
      <c r="E39" s="264"/>
      <c r="F39" s="262"/>
      <c r="G39" s="255"/>
      <c r="H39" s="180"/>
      <c r="I39" s="114"/>
      <c r="J39" s="180"/>
      <c r="K39" s="114"/>
      <c r="L39" s="113"/>
      <c r="M39" s="115"/>
      <c r="O39" s="193"/>
    </row>
    <row r="40" spans="1:15">
      <c r="A40" s="53"/>
      <c r="B40" s="117"/>
      <c r="C40" s="118" t="s">
        <v>43</v>
      </c>
      <c r="D40" s="77"/>
      <c r="E40" s="258"/>
      <c r="F40" s="260"/>
      <c r="G40" s="235">
        <f>SUM(G18:G39)</f>
        <v>1225000</v>
      </c>
      <c r="H40" s="121"/>
      <c r="I40" s="120">
        <f>SUM(I18:I39)</f>
        <v>1225000</v>
      </c>
      <c r="J40" s="122"/>
      <c r="K40" s="120">
        <f>SUM(K18:K39)</f>
        <v>1225000</v>
      </c>
      <c r="L40" s="123"/>
      <c r="M40" s="124">
        <f>SUM(M18:M39)</f>
        <v>0</v>
      </c>
    </row>
    <row r="41" spans="1:15">
      <c r="A41" s="53"/>
      <c r="B41" s="202"/>
      <c r="C41" s="203" t="s">
        <v>44</v>
      </c>
      <c r="D41" s="204"/>
      <c r="E41" s="247"/>
      <c r="F41" s="205"/>
      <c r="G41" s="206"/>
      <c r="H41" s="207"/>
      <c r="I41" s="208">
        <f>I40*F41</f>
        <v>0</v>
      </c>
      <c r="J41" s="209"/>
      <c r="K41" s="208">
        <f>K40*F41</f>
        <v>0</v>
      </c>
      <c r="L41" s="210"/>
      <c r="M41" s="211">
        <f>M40*F41</f>
        <v>0</v>
      </c>
      <c r="O41" s="193"/>
    </row>
    <row r="42" spans="1:15">
      <c r="A42" s="53"/>
      <c r="B42" s="223"/>
      <c r="C42" s="224" t="s">
        <v>58</v>
      </c>
      <c r="D42" s="225"/>
      <c r="E42" s="248"/>
      <c r="F42" s="226"/>
      <c r="G42" s="227">
        <v>0</v>
      </c>
      <c r="H42" s="228">
        <v>0</v>
      </c>
      <c r="I42" s="114">
        <f>H42*G42</f>
        <v>0</v>
      </c>
      <c r="J42" s="113">
        <v>0</v>
      </c>
      <c r="K42" s="114">
        <f>G42*J42</f>
        <v>0</v>
      </c>
      <c r="L42" s="113">
        <f>H42-J42</f>
        <v>0</v>
      </c>
      <c r="M42" s="115">
        <f>L42*G42</f>
        <v>0</v>
      </c>
    </row>
    <row r="43" spans="1:15">
      <c r="A43" s="126"/>
      <c r="B43" s="127"/>
      <c r="C43" s="128" t="s">
        <v>45</v>
      </c>
      <c r="D43" s="129"/>
      <c r="E43" s="249"/>
      <c r="F43" s="130"/>
      <c r="G43" s="131">
        <f>G40-G41+G42</f>
        <v>1225000</v>
      </c>
      <c r="H43" s="4" t="s">
        <v>46</v>
      </c>
      <c r="I43" s="134">
        <f>+I40-I41</f>
        <v>1225000</v>
      </c>
      <c r="J43" s="132"/>
      <c r="K43" s="134">
        <f>+K40-K41</f>
        <v>1225000</v>
      </c>
      <c r="L43" s="133"/>
      <c r="M43" s="134">
        <f>+M40-M41</f>
        <v>0</v>
      </c>
    </row>
    <row r="44" spans="1:15">
      <c r="A44" s="53"/>
      <c r="B44" s="117"/>
      <c r="C44" s="118" t="s">
        <v>47</v>
      </c>
      <c r="D44" s="55"/>
      <c r="E44" s="245"/>
      <c r="F44" s="119"/>
      <c r="G44" s="120">
        <f>G43*19%</f>
        <v>232750</v>
      </c>
      <c r="H44" s="121"/>
      <c r="I44" s="120">
        <f>I43*19%</f>
        <v>232750</v>
      </c>
      <c r="J44" s="122"/>
      <c r="K44" s="120">
        <f>K43*19%</f>
        <v>232750</v>
      </c>
      <c r="L44" s="123"/>
      <c r="M44" s="120">
        <f>+M43*0.19</f>
        <v>0</v>
      </c>
      <c r="O44" s="193"/>
    </row>
    <row r="45" spans="1:15">
      <c r="A45" s="53"/>
      <c r="B45" s="125"/>
      <c r="C45" s="135" t="s">
        <v>48</v>
      </c>
      <c r="D45" s="60"/>
      <c r="E45" s="246"/>
      <c r="F45" s="116"/>
      <c r="G45" s="136">
        <f>SUM(G43:G44)</f>
        <v>1457750</v>
      </c>
      <c r="H45" s="137"/>
      <c r="I45" s="136">
        <f>SUM(I43:I44)</f>
        <v>1457750</v>
      </c>
      <c r="J45" s="138"/>
      <c r="K45" s="136">
        <f>SUM(K43:K44)</f>
        <v>1457750</v>
      </c>
      <c r="L45" s="139"/>
      <c r="M45" s="136">
        <f>SUM(M43:M44)</f>
        <v>0</v>
      </c>
    </row>
    <row r="46" spans="1:15">
      <c r="A46" s="53"/>
      <c r="B46" s="117"/>
      <c r="C46" s="67"/>
      <c r="D46" s="67"/>
      <c r="E46" s="250"/>
      <c r="F46" s="140"/>
      <c r="G46" s="68"/>
      <c r="H46" s="141"/>
      <c r="I46" s="142"/>
      <c r="J46" s="143"/>
      <c r="K46" s="142"/>
      <c r="L46" s="144"/>
      <c r="M46" s="145"/>
      <c r="O46" s="193"/>
    </row>
    <row r="47" spans="1:15">
      <c r="A47" s="53"/>
      <c r="B47" s="146"/>
      <c r="C47" s="147"/>
      <c r="D47" s="147"/>
      <c r="E47" s="230"/>
      <c r="F47" s="148"/>
      <c r="G47" s="149"/>
      <c r="H47" s="150"/>
      <c r="I47" s="151"/>
      <c r="J47" s="152"/>
      <c r="K47" s="151"/>
      <c r="L47" s="153"/>
      <c r="M47" s="154"/>
    </row>
    <row r="48" spans="1:15">
      <c r="A48" s="53"/>
      <c r="B48" s="146"/>
      <c r="C48" s="147"/>
      <c r="D48" s="147"/>
      <c r="E48" s="230"/>
      <c r="F48" s="148"/>
      <c r="G48" s="149"/>
      <c r="H48" s="150"/>
      <c r="I48" s="151"/>
      <c r="J48" s="152"/>
      <c r="K48" s="151"/>
      <c r="L48" s="153"/>
      <c r="M48" s="154"/>
    </row>
    <row r="49" spans="1:13">
      <c r="A49" s="53"/>
      <c r="B49" s="155"/>
      <c r="C49" s="147"/>
      <c r="D49" s="147"/>
      <c r="E49" s="230"/>
      <c r="F49" s="147"/>
      <c r="G49" s="147"/>
      <c r="H49" s="156"/>
      <c r="I49" s="157"/>
      <c r="J49" s="158"/>
      <c r="K49" s="159"/>
      <c r="L49" s="158"/>
      <c r="M49" s="160"/>
    </row>
    <row r="50" spans="1:13">
      <c r="A50" s="53"/>
      <c r="B50" s="161"/>
      <c r="C50" s="77"/>
      <c r="D50" s="77"/>
      <c r="E50" s="251"/>
      <c r="F50" s="77"/>
      <c r="G50" s="162"/>
      <c r="H50" s="78"/>
      <c r="I50" s="77"/>
      <c r="J50" s="78"/>
      <c r="K50" s="77"/>
      <c r="L50" s="77"/>
      <c r="M50" s="163"/>
    </row>
    <row r="51" spans="1:13">
      <c r="A51" s="53"/>
      <c r="B51" s="155"/>
      <c r="C51" s="376"/>
      <c r="D51" s="377"/>
      <c r="E51" s="377"/>
      <c r="F51" s="378"/>
      <c r="G51" s="379"/>
      <c r="H51" s="380"/>
      <c r="I51" s="380"/>
      <c r="J51" s="381"/>
      <c r="K51" s="77"/>
      <c r="L51" s="77"/>
      <c r="M51" s="163"/>
    </row>
    <row r="52" spans="1:13">
      <c r="A52" s="53"/>
      <c r="B52" s="59"/>
      <c r="C52" s="60"/>
      <c r="D52" s="60"/>
      <c r="E52" s="239"/>
      <c r="F52" s="60"/>
      <c r="G52" s="61"/>
      <c r="H52" s="62"/>
      <c r="I52" s="60"/>
      <c r="J52" s="62"/>
      <c r="K52" s="60"/>
      <c r="L52" s="60"/>
      <c r="M52" s="164"/>
    </row>
    <row r="53" spans="1:13">
      <c r="A53" s="53"/>
      <c r="B53" s="165"/>
      <c r="C53" s="382"/>
      <c r="D53" s="383"/>
      <c r="E53" s="383"/>
      <c r="F53" s="383"/>
      <c r="G53" s="384"/>
      <c r="H53" s="385" t="s">
        <v>49</v>
      </c>
      <c r="I53" s="386"/>
      <c r="J53" s="386"/>
      <c r="K53" s="386"/>
      <c r="L53" s="386"/>
      <c r="M53" s="387"/>
    </row>
    <row r="54" spans="1:13">
      <c r="A54" s="53"/>
      <c r="B54" s="161"/>
      <c r="C54" s="77"/>
      <c r="D54" s="77"/>
      <c r="E54" s="251"/>
      <c r="F54" s="77"/>
      <c r="G54" s="162"/>
      <c r="H54" s="78"/>
      <c r="I54" s="77"/>
      <c r="J54" s="78"/>
      <c r="K54" s="77"/>
      <c r="L54" s="77"/>
      <c r="M54" s="163"/>
    </row>
    <row r="55" spans="1:13" ht="16" thickBot="1">
      <c r="A55" s="53"/>
      <c r="B55" s="166"/>
      <c r="C55" s="167"/>
      <c r="D55" s="167"/>
      <c r="E55" s="252"/>
      <c r="F55" s="167"/>
      <c r="G55" s="168"/>
      <c r="H55" s="169"/>
      <c r="I55" s="167"/>
      <c r="J55" s="169"/>
      <c r="K55" s="167"/>
      <c r="L55" s="167"/>
      <c r="M55" s="170"/>
    </row>
    <row r="57" spans="1:13">
      <c r="G57" s="229"/>
    </row>
  </sheetData>
  <mergeCells count="12">
    <mergeCell ref="C51:F51"/>
    <mergeCell ref="G51:J51"/>
    <mergeCell ref="C53:G53"/>
    <mergeCell ref="H53:M53"/>
    <mergeCell ref="B3:M3"/>
    <mergeCell ref="B12:M12"/>
    <mergeCell ref="H15:I15"/>
    <mergeCell ref="J15:K16"/>
    <mergeCell ref="L15:M15"/>
    <mergeCell ref="C16:F16"/>
    <mergeCell ref="H16:I16"/>
    <mergeCell ref="L16:M16"/>
  </mergeCells>
  <pageMargins left="0.70000000000000007" right="0.70000000000000007" top="0.75000000000000011" bottom="0.75000000000000011" header="0.30000000000000004" footer="0.30000000000000004"/>
  <pageSetup scale="32" orientation="landscape" horizontalDpi="4294967292" verticalDpi="4294967292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83CCA5-A23D-4E32-A68D-5A65981D02CE}">
  <sheetPr>
    <tabColor rgb="FFFF0000"/>
    <pageSetUpPr fitToPage="1"/>
  </sheetPr>
  <dimension ref="A1:O57"/>
  <sheetViews>
    <sheetView topLeftCell="A11" zoomScale="70" zoomScaleNormal="70" zoomScalePageLayoutView="70" workbookViewId="0">
      <selection activeCell="H23" sqref="H23"/>
    </sheetView>
  </sheetViews>
  <sheetFormatPr baseColWidth="10" defaultRowHeight="15"/>
  <cols>
    <col min="1" max="1" width="4.33203125" style="51" customWidth="1"/>
    <col min="2" max="2" width="16.5" style="51" customWidth="1"/>
    <col min="3" max="3" width="55.1640625" style="51" customWidth="1"/>
    <col min="4" max="4" width="20.5" style="51" customWidth="1"/>
    <col min="5" max="5" width="21" style="253" customWidth="1"/>
    <col min="6" max="6" width="16" style="51" customWidth="1"/>
    <col min="7" max="7" width="19.5" style="51" customWidth="1"/>
    <col min="8" max="8" width="12.33203125" style="51" customWidth="1"/>
    <col min="9" max="9" width="18.83203125" style="51" customWidth="1"/>
    <col min="10" max="10" width="12.5" style="51" customWidth="1"/>
    <col min="11" max="11" width="19.83203125" style="51" customWidth="1"/>
    <col min="12" max="12" width="13.6640625" style="51" customWidth="1"/>
    <col min="13" max="13" width="23.1640625" style="51" customWidth="1"/>
    <col min="14" max="14" width="14.5" customWidth="1"/>
    <col min="15" max="15" width="19" customWidth="1"/>
  </cols>
  <sheetData>
    <row r="1" spans="1:13">
      <c r="A1" s="1"/>
      <c r="B1" s="1"/>
      <c r="C1" s="1"/>
      <c r="D1" s="1"/>
      <c r="E1" s="236"/>
      <c r="F1" s="1"/>
      <c r="G1" s="1"/>
      <c r="H1" s="1"/>
      <c r="I1" s="1"/>
      <c r="J1" s="1"/>
      <c r="K1" s="1"/>
      <c r="L1" s="1"/>
      <c r="M1" s="1"/>
    </row>
    <row r="2" spans="1:13" ht="16" thickBot="1">
      <c r="A2" s="1"/>
      <c r="B2" s="52"/>
      <c r="C2" s="52"/>
      <c r="D2" s="52"/>
      <c r="E2" s="237"/>
      <c r="F2" s="52"/>
      <c r="G2" s="52"/>
      <c r="H2" s="52"/>
      <c r="I2" s="52"/>
      <c r="J2" s="52"/>
      <c r="K2" s="52"/>
      <c r="L2" s="52"/>
      <c r="M2" s="52"/>
    </row>
    <row r="3" spans="1:13" ht="21">
      <c r="A3" s="53"/>
      <c r="B3" s="388" t="s">
        <v>50</v>
      </c>
      <c r="C3" s="389"/>
      <c r="D3" s="389"/>
      <c r="E3" s="389"/>
      <c r="F3" s="389"/>
      <c r="G3" s="389"/>
      <c r="H3" s="389"/>
      <c r="I3" s="389"/>
      <c r="J3" s="389"/>
      <c r="K3" s="389"/>
      <c r="L3" s="389"/>
      <c r="M3" s="390"/>
    </row>
    <row r="4" spans="1:13">
      <c r="A4" s="53"/>
      <c r="B4" s="54"/>
      <c r="C4" s="55"/>
      <c r="D4" s="55"/>
      <c r="E4" s="238"/>
      <c r="F4" s="55"/>
      <c r="G4" s="56"/>
      <c r="H4" s="57"/>
      <c r="I4" s="55"/>
      <c r="J4" s="57"/>
      <c r="K4" s="55"/>
      <c r="L4" s="55"/>
      <c r="M4" s="58"/>
    </row>
    <row r="5" spans="1:13">
      <c r="A5" s="53"/>
      <c r="B5" s="59"/>
      <c r="C5" s="60"/>
      <c r="D5" s="60"/>
      <c r="E5" s="239"/>
      <c r="F5" s="60"/>
      <c r="G5" s="61"/>
      <c r="H5" s="62"/>
      <c r="I5" s="60"/>
      <c r="J5" s="62"/>
      <c r="K5" s="60"/>
      <c r="L5" s="60"/>
      <c r="M5" s="63" t="str">
        <f>+RESUMEN!D19</f>
        <v>CORREDORA LUZ MARIA CORREA</v>
      </c>
    </row>
    <row r="6" spans="1:13" ht="16">
      <c r="A6" s="53"/>
      <c r="B6" s="64" t="s">
        <v>23</v>
      </c>
      <c r="C6" s="65" t="str">
        <f>+RESUMEN!C9</f>
        <v>REMODELACION BAÑOS SHC LA CALERA</v>
      </c>
      <c r="D6" s="66"/>
      <c r="E6" s="240"/>
      <c r="F6" s="67"/>
      <c r="G6" s="68"/>
      <c r="H6" s="69"/>
      <c r="I6" s="67"/>
      <c r="J6" s="69"/>
      <c r="K6" s="67"/>
      <c r="L6" s="67"/>
      <c r="M6" s="70"/>
    </row>
    <row r="7" spans="1:13" ht="16">
      <c r="A7" s="53"/>
      <c r="B7" s="71" t="s">
        <v>24</v>
      </c>
      <c r="C7" s="72" t="str">
        <f>+RESUMEN!C10</f>
        <v>MALL OPEN PLAZA LA CALERA</v>
      </c>
      <c r="D7" s="73"/>
      <c r="E7" s="241"/>
      <c r="F7" s="74"/>
      <c r="G7" s="75"/>
      <c r="H7" s="76"/>
      <c r="I7" s="77"/>
      <c r="J7" s="78"/>
      <c r="K7" s="74"/>
      <c r="L7" s="74"/>
      <c r="M7" s="79" t="s">
        <v>25</v>
      </c>
    </row>
    <row r="8" spans="1:13" ht="16">
      <c r="A8" s="53"/>
      <c r="B8" s="71" t="s">
        <v>19</v>
      </c>
      <c r="C8" s="171" t="str">
        <f>+RESUMEN!B20</f>
        <v>DPTO 752 CONDOMINIO RAVELLO</v>
      </c>
      <c r="D8" s="73"/>
      <c r="E8" s="241"/>
      <c r="F8" s="74"/>
      <c r="G8" s="75"/>
      <c r="H8" s="76"/>
      <c r="I8" s="74"/>
      <c r="J8" s="76"/>
      <c r="K8" s="74"/>
      <c r="L8" s="74"/>
      <c r="M8" s="80" t="str">
        <f>+RESUMEN!I15</f>
        <v>EEPP#06</v>
      </c>
    </row>
    <row r="9" spans="1:13" ht="16">
      <c r="A9" s="53"/>
      <c r="B9" s="71" t="s">
        <v>26</v>
      </c>
      <c r="C9" s="72"/>
      <c r="D9" s="73"/>
      <c r="E9" s="242"/>
      <c r="F9" s="73"/>
      <c r="G9" s="75"/>
      <c r="H9" s="76"/>
      <c r="I9" s="74"/>
      <c r="J9" s="76"/>
      <c r="K9" s="74"/>
      <c r="L9" s="74"/>
      <c r="M9" s="81"/>
    </row>
    <row r="10" spans="1:13" ht="16">
      <c r="A10" s="53"/>
      <c r="B10" s="82" t="s">
        <v>27</v>
      </c>
      <c r="C10" s="83" t="str">
        <f>+RESUMEN!C20</f>
        <v>11.520.369-K</v>
      </c>
      <c r="D10" s="84"/>
      <c r="E10" s="243"/>
      <c r="F10" s="85"/>
      <c r="G10" s="86"/>
      <c r="H10" s="87"/>
      <c r="I10" s="85"/>
      <c r="J10" s="87"/>
      <c r="K10" s="85"/>
      <c r="L10" s="85"/>
      <c r="M10" s="88"/>
    </row>
    <row r="11" spans="1:13" ht="16">
      <c r="A11" s="53"/>
      <c r="B11" s="82" t="s">
        <v>52</v>
      </c>
      <c r="C11" s="201"/>
      <c r="D11" s="84"/>
      <c r="E11" s="243"/>
      <c r="F11" s="85"/>
      <c r="G11" s="86"/>
      <c r="H11" s="87"/>
      <c r="I11" s="85"/>
      <c r="J11" s="87"/>
      <c r="K11" s="85"/>
      <c r="L11" s="85"/>
      <c r="M11" s="88"/>
    </row>
    <row r="12" spans="1:13">
      <c r="A12" s="53"/>
      <c r="B12" s="391"/>
      <c r="C12" s="392"/>
      <c r="D12" s="392"/>
      <c r="E12" s="392"/>
      <c r="F12" s="392"/>
      <c r="G12" s="392"/>
      <c r="H12" s="392"/>
      <c r="I12" s="392"/>
      <c r="J12" s="392"/>
      <c r="K12" s="392"/>
      <c r="L12" s="392"/>
      <c r="M12" s="393"/>
    </row>
    <row r="13" spans="1:13" ht="16">
      <c r="A13" s="53"/>
      <c r="B13" s="89" t="s">
        <v>28</v>
      </c>
      <c r="C13" s="90"/>
      <c r="D13" s="90"/>
      <c r="E13" s="91">
        <f>G40</f>
        <v>6150000</v>
      </c>
      <c r="F13" s="92"/>
      <c r="G13" s="93"/>
      <c r="H13" s="94"/>
      <c r="I13" s="92"/>
      <c r="J13" s="94"/>
      <c r="K13" s="92"/>
      <c r="L13" s="95" t="s">
        <v>29</v>
      </c>
      <c r="M13" s="96">
        <f>+RESUMEN!I17</f>
        <v>45947</v>
      </c>
    </row>
    <row r="14" spans="1:13">
      <c r="A14" s="53"/>
      <c r="B14" s="97"/>
      <c r="C14" s="92"/>
      <c r="D14" s="92"/>
      <c r="E14" s="244"/>
      <c r="F14" s="92"/>
      <c r="G14" s="93"/>
      <c r="H14" s="94"/>
      <c r="I14" s="92"/>
      <c r="J14" s="94"/>
      <c r="K14" s="92"/>
      <c r="L14" s="92"/>
      <c r="M14" s="98"/>
    </row>
    <row r="15" spans="1:13">
      <c r="A15" s="53"/>
      <c r="B15" s="99"/>
      <c r="C15" s="100"/>
      <c r="D15" s="101"/>
      <c r="E15" s="245"/>
      <c r="F15" s="102"/>
      <c r="G15" s="103" t="s">
        <v>30</v>
      </c>
      <c r="H15" s="394" t="s">
        <v>31</v>
      </c>
      <c r="I15" s="395"/>
      <c r="J15" s="396" t="s">
        <v>32</v>
      </c>
      <c r="K15" s="397"/>
      <c r="L15" s="405" t="s">
        <v>33</v>
      </c>
      <c r="M15" s="406"/>
    </row>
    <row r="16" spans="1:13">
      <c r="A16" s="53"/>
      <c r="B16" s="104" t="s">
        <v>34</v>
      </c>
      <c r="C16" s="400" t="s">
        <v>35</v>
      </c>
      <c r="D16" s="401"/>
      <c r="E16" s="401"/>
      <c r="F16" s="402"/>
      <c r="G16" s="105" t="s">
        <v>16</v>
      </c>
      <c r="H16" s="403" t="s">
        <v>36</v>
      </c>
      <c r="I16" s="404"/>
      <c r="J16" s="398"/>
      <c r="K16" s="399"/>
      <c r="L16" s="407" t="s">
        <v>37</v>
      </c>
      <c r="M16" s="408"/>
    </row>
    <row r="17" spans="1:15">
      <c r="A17" s="53"/>
      <c r="B17" s="106"/>
      <c r="C17" s="107"/>
      <c r="D17" s="257"/>
      <c r="E17" s="258"/>
      <c r="F17" s="259"/>
      <c r="G17" s="181"/>
      <c r="H17" s="108" t="s">
        <v>38</v>
      </c>
      <c r="I17" s="108" t="s">
        <v>39</v>
      </c>
      <c r="J17" s="108" t="s">
        <v>38</v>
      </c>
      <c r="K17" s="108" t="s">
        <v>39</v>
      </c>
      <c r="L17" s="108" t="s">
        <v>38</v>
      </c>
      <c r="M17" s="109" t="s">
        <v>39</v>
      </c>
    </row>
    <row r="18" spans="1:15">
      <c r="A18" s="53"/>
      <c r="B18" s="182"/>
      <c r="C18" s="283" t="s">
        <v>69</v>
      </c>
      <c r="D18" s="261" t="s">
        <v>40</v>
      </c>
      <c r="E18" s="263" t="s">
        <v>41</v>
      </c>
      <c r="F18" s="261" t="s">
        <v>42</v>
      </c>
      <c r="G18" s="256"/>
      <c r="H18" s="179"/>
      <c r="I18" s="110"/>
      <c r="J18" s="111"/>
      <c r="K18" s="110"/>
      <c r="L18" s="111"/>
      <c r="M18" s="112"/>
    </row>
    <row r="19" spans="1:15" ht="28">
      <c r="A19" s="53"/>
      <c r="B19" s="271">
        <v>1</v>
      </c>
      <c r="C19" s="272" t="s">
        <v>84</v>
      </c>
      <c r="D19" s="273" t="s">
        <v>88</v>
      </c>
      <c r="E19" s="273">
        <v>9</v>
      </c>
      <c r="F19" s="274">
        <v>470000</v>
      </c>
      <c r="G19" s="275">
        <f t="shared" ref="G19:G22" si="0">+F19*E19</f>
        <v>4230000</v>
      </c>
      <c r="H19" s="276">
        <v>1</v>
      </c>
      <c r="I19" s="277">
        <f>H19*G19</f>
        <v>4230000</v>
      </c>
      <c r="J19" s="276">
        <v>0.9</v>
      </c>
      <c r="K19" s="277">
        <f>J19*G19</f>
        <v>3807000</v>
      </c>
      <c r="L19" s="278">
        <f>H19-J19</f>
        <v>9.9999999999999978E-2</v>
      </c>
      <c r="M19" s="279">
        <f>L19*G19</f>
        <v>422999.99999999988</v>
      </c>
      <c r="O19" s="193"/>
    </row>
    <row r="20" spans="1:15" ht="28">
      <c r="A20" s="53"/>
      <c r="B20" s="271" t="s">
        <v>57</v>
      </c>
      <c r="C20" s="272" t="s">
        <v>85</v>
      </c>
      <c r="D20" s="273" t="s">
        <v>55</v>
      </c>
      <c r="E20" s="273">
        <v>10</v>
      </c>
      <c r="F20" s="274">
        <v>160000</v>
      </c>
      <c r="G20" s="275">
        <f t="shared" si="0"/>
        <v>1600000</v>
      </c>
      <c r="H20" s="276">
        <v>1</v>
      </c>
      <c r="I20" s="277">
        <f>H20*G20</f>
        <v>1600000</v>
      </c>
      <c r="J20" s="276">
        <v>0.9</v>
      </c>
      <c r="K20" s="277">
        <f>J20*G20</f>
        <v>1440000</v>
      </c>
      <c r="L20" s="278">
        <f>H20-J20</f>
        <v>9.9999999999999978E-2</v>
      </c>
      <c r="M20" s="279">
        <f>L20*G20</f>
        <v>159999.99999999997</v>
      </c>
      <c r="O20" s="193"/>
    </row>
    <row r="21" spans="1:15">
      <c r="A21" s="53"/>
      <c r="B21" s="271" t="s">
        <v>64</v>
      </c>
      <c r="C21" s="272" t="s">
        <v>86</v>
      </c>
      <c r="D21" s="273" t="s">
        <v>55</v>
      </c>
      <c r="E21" s="273">
        <v>2</v>
      </c>
      <c r="F21" s="274">
        <v>80000</v>
      </c>
      <c r="G21" s="275">
        <f t="shared" si="0"/>
        <v>160000</v>
      </c>
      <c r="H21" s="276">
        <v>1</v>
      </c>
      <c r="I21" s="277">
        <f>H21*G21</f>
        <v>160000</v>
      </c>
      <c r="J21" s="276">
        <v>0.9</v>
      </c>
      <c r="K21" s="277">
        <f>J21*G21</f>
        <v>144000</v>
      </c>
      <c r="L21" s="278">
        <f>H21-J21</f>
        <v>9.9999999999999978E-2</v>
      </c>
      <c r="M21" s="279">
        <f>L21*G21</f>
        <v>15999.999999999996</v>
      </c>
      <c r="O21" s="193"/>
    </row>
    <row r="22" spans="1:15">
      <c r="A22" s="53"/>
      <c r="B22" s="271" t="s">
        <v>80</v>
      </c>
      <c r="C22" s="272" t="s">
        <v>87</v>
      </c>
      <c r="D22" s="273" t="s">
        <v>55</v>
      </c>
      <c r="E22" s="273">
        <v>1</v>
      </c>
      <c r="F22" s="274">
        <v>160000</v>
      </c>
      <c r="G22" s="275">
        <f t="shared" si="0"/>
        <v>160000</v>
      </c>
      <c r="H22" s="276">
        <v>1</v>
      </c>
      <c r="I22" s="277">
        <f>H22*G22</f>
        <v>160000</v>
      </c>
      <c r="J22" s="276">
        <v>0.9</v>
      </c>
      <c r="K22" s="277">
        <f>J22*G22</f>
        <v>144000</v>
      </c>
      <c r="L22" s="278">
        <f>H22-J22</f>
        <v>9.9999999999999978E-2</v>
      </c>
      <c r="M22" s="279">
        <f>L22*G22</f>
        <v>15999.999999999996</v>
      </c>
      <c r="O22" s="193"/>
    </row>
    <row r="23" spans="1:15">
      <c r="A23" s="53"/>
      <c r="B23" s="271"/>
      <c r="C23" s="272"/>
      <c r="D23" s="273"/>
      <c r="E23" s="273"/>
      <c r="F23" s="274"/>
      <c r="G23" s="275"/>
      <c r="H23" s="276"/>
      <c r="I23" s="277"/>
      <c r="J23" s="276"/>
      <c r="K23" s="277"/>
      <c r="L23" s="278"/>
      <c r="M23" s="279"/>
      <c r="O23" s="193"/>
    </row>
    <row r="24" spans="1:15" ht="14.25" customHeight="1">
      <c r="A24" s="53"/>
      <c r="B24" s="267"/>
      <c r="C24" s="269"/>
      <c r="D24" s="265"/>
      <c r="E24" s="266"/>
      <c r="F24" s="182"/>
      <c r="G24" s="255"/>
      <c r="H24" s="180"/>
      <c r="I24" s="114"/>
      <c r="J24" s="180"/>
      <c r="K24" s="114"/>
      <c r="L24" s="113"/>
      <c r="M24" s="115"/>
      <c r="O24" s="193"/>
    </row>
    <row r="25" spans="1:15">
      <c r="A25" s="53"/>
      <c r="B25" s="267"/>
      <c r="C25" s="254"/>
      <c r="D25" s="265"/>
      <c r="E25" s="266"/>
      <c r="F25" s="182"/>
      <c r="G25" s="255"/>
      <c r="H25" s="180"/>
      <c r="I25" s="114"/>
      <c r="J25" s="180"/>
      <c r="K25" s="114"/>
      <c r="L25" s="113"/>
      <c r="M25" s="115"/>
      <c r="O25" s="193"/>
    </row>
    <row r="26" spans="1:15">
      <c r="A26" s="53"/>
      <c r="B26" s="267"/>
      <c r="C26" s="254"/>
      <c r="D26" s="265"/>
      <c r="E26" s="266"/>
      <c r="F26" s="182"/>
      <c r="G26" s="255"/>
      <c r="H26" s="180"/>
      <c r="I26" s="114"/>
      <c r="J26" s="180"/>
      <c r="K26" s="114"/>
      <c r="L26" s="113"/>
      <c r="M26" s="115"/>
      <c r="O26" s="193"/>
    </row>
    <row r="27" spans="1:15">
      <c r="A27" s="53"/>
      <c r="B27" s="267"/>
      <c r="C27" s="254"/>
      <c r="D27" s="265"/>
      <c r="E27" s="266"/>
      <c r="F27" s="182"/>
      <c r="G27" s="255"/>
      <c r="H27" s="180"/>
      <c r="I27" s="114"/>
      <c r="J27" s="180"/>
      <c r="K27" s="114"/>
      <c r="L27" s="113"/>
      <c r="M27" s="115"/>
      <c r="O27" s="193"/>
    </row>
    <row r="28" spans="1:15">
      <c r="A28" s="53"/>
      <c r="B28" s="267"/>
      <c r="C28" s="254"/>
      <c r="D28" s="265"/>
      <c r="E28" s="266"/>
      <c r="F28" s="182"/>
      <c r="G28" s="255"/>
      <c r="H28" s="180"/>
      <c r="I28" s="114"/>
      <c r="J28" s="180"/>
      <c r="K28" s="114"/>
      <c r="L28" s="113"/>
      <c r="M28" s="115"/>
      <c r="O28" s="193"/>
    </row>
    <row r="29" spans="1:15">
      <c r="A29" s="53"/>
      <c r="B29" s="267"/>
      <c r="C29" s="254"/>
      <c r="D29" s="265"/>
      <c r="E29" s="266"/>
      <c r="F29" s="182"/>
      <c r="G29" s="255"/>
      <c r="H29" s="180"/>
      <c r="I29" s="114"/>
      <c r="J29" s="180"/>
      <c r="K29" s="114"/>
      <c r="L29" s="113"/>
      <c r="M29" s="115"/>
      <c r="O29" s="193"/>
    </row>
    <row r="30" spans="1:15">
      <c r="A30" s="53"/>
      <c r="B30" s="267"/>
      <c r="C30" s="254"/>
      <c r="D30" s="265"/>
      <c r="E30" s="266"/>
      <c r="F30" s="182"/>
      <c r="G30" s="255"/>
      <c r="H30" s="180"/>
      <c r="I30" s="114"/>
      <c r="J30" s="180"/>
      <c r="K30" s="114"/>
      <c r="L30" s="113"/>
      <c r="M30" s="115"/>
      <c r="O30" s="193"/>
    </row>
    <row r="31" spans="1:15">
      <c r="A31" s="53"/>
      <c r="B31" s="267"/>
      <c r="C31" s="254"/>
      <c r="D31" s="265"/>
      <c r="E31" s="266"/>
      <c r="F31" s="182"/>
      <c r="G31" s="255"/>
      <c r="H31" s="180"/>
      <c r="I31" s="114"/>
      <c r="J31" s="180"/>
      <c r="K31" s="114"/>
      <c r="L31" s="113"/>
      <c r="M31" s="115"/>
      <c r="O31" s="193"/>
    </row>
    <row r="32" spans="1:15">
      <c r="A32" s="53"/>
      <c r="B32" s="267"/>
      <c r="C32" s="254"/>
      <c r="D32" s="265"/>
      <c r="E32" s="266"/>
      <c r="F32" s="182"/>
      <c r="G32" s="255"/>
      <c r="H32" s="180"/>
      <c r="I32" s="114"/>
      <c r="J32" s="180"/>
      <c r="K32" s="114"/>
      <c r="L32" s="113"/>
      <c r="M32" s="115"/>
      <c r="O32" s="193"/>
    </row>
    <row r="33" spans="1:15">
      <c r="A33" s="53"/>
      <c r="B33" s="267"/>
      <c r="C33" s="254"/>
      <c r="D33" s="265"/>
      <c r="E33" s="266"/>
      <c r="F33" s="182"/>
      <c r="G33" s="255"/>
      <c r="H33" s="180"/>
      <c r="I33" s="114"/>
      <c r="J33" s="180"/>
      <c r="K33" s="114"/>
      <c r="L33" s="113"/>
      <c r="M33" s="115"/>
      <c r="O33" s="193"/>
    </row>
    <row r="34" spans="1:15">
      <c r="A34" s="53"/>
      <c r="B34" s="267"/>
      <c r="C34" s="254"/>
      <c r="D34" s="265"/>
      <c r="E34" s="266"/>
      <c r="F34" s="182"/>
      <c r="G34" s="255"/>
      <c r="H34" s="180"/>
      <c r="I34" s="114"/>
      <c r="J34" s="180"/>
      <c r="K34" s="114"/>
      <c r="L34" s="113"/>
      <c r="M34" s="115"/>
      <c r="O34" s="193"/>
    </row>
    <row r="35" spans="1:15">
      <c r="A35" s="53"/>
      <c r="B35" s="267"/>
      <c r="C35" s="254"/>
      <c r="D35" s="265"/>
      <c r="E35" s="266"/>
      <c r="F35" s="182"/>
      <c r="G35" s="255"/>
      <c r="H35" s="180"/>
      <c r="I35" s="114"/>
      <c r="J35" s="180"/>
      <c r="K35" s="114"/>
      <c r="L35" s="113"/>
      <c r="M35" s="115"/>
      <c r="O35" s="193"/>
    </row>
    <row r="36" spans="1:15">
      <c r="A36" s="53"/>
      <c r="B36" s="267"/>
      <c r="C36" s="254"/>
      <c r="D36" s="265"/>
      <c r="E36" s="266"/>
      <c r="F36" s="182"/>
      <c r="G36" s="255"/>
      <c r="H36" s="180"/>
      <c r="I36" s="114"/>
      <c r="J36" s="180"/>
      <c r="K36" s="114"/>
      <c r="L36" s="113"/>
      <c r="M36" s="115"/>
      <c r="O36" s="193"/>
    </row>
    <row r="37" spans="1:15">
      <c r="A37" s="53"/>
      <c r="B37" s="267"/>
      <c r="C37" s="254"/>
      <c r="D37" s="265"/>
      <c r="E37" s="266"/>
      <c r="F37" s="182"/>
      <c r="G37" s="255"/>
      <c r="H37" s="180"/>
      <c r="I37" s="114"/>
      <c r="J37" s="180"/>
      <c r="K37" s="114"/>
      <c r="L37" s="113"/>
      <c r="M37" s="115"/>
      <c r="O37" s="193"/>
    </row>
    <row r="38" spans="1:15">
      <c r="A38" s="53"/>
      <c r="B38" s="267"/>
      <c r="C38" s="254"/>
      <c r="D38" s="265"/>
      <c r="E38" s="266"/>
      <c r="F38" s="182"/>
      <c r="G38" s="255"/>
      <c r="H38" s="180"/>
      <c r="I38" s="114"/>
      <c r="J38" s="180"/>
      <c r="K38" s="114"/>
      <c r="L38" s="113"/>
      <c r="M38" s="115"/>
      <c r="O38" s="193"/>
    </row>
    <row r="39" spans="1:15">
      <c r="A39" s="53"/>
      <c r="B39" s="182"/>
      <c r="C39" s="254"/>
      <c r="D39" s="268"/>
      <c r="E39" s="264"/>
      <c r="F39" s="262"/>
      <c r="G39" s="255"/>
      <c r="H39" s="180"/>
      <c r="I39" s="114"/>
      <c r="J39" s="180"/>
      <c r="K39" s="114"/>
      <c r="L39" s="113"/>
      <c r="M39" s="115"/>
      <c r="O39" s="193"/>
    </row>
    <row r="40" spans="1:15">
      <c r="A40" s="53"/>
      <c r="B40" s="117"/>
      <c r="C40" s="118" t="s">
        <v>43</v>
      </c>
      <c r="D40" s="77"/>
      <c r="E40" s="258"/>
      <c r="F40" s="260"/>
      <c r="G40" s="235">
        <f>SUM(G18:G39)</f>
        <v>6150000</v>
      </c>
      <c r="H40" s="121"/>
      <c r="I40" s="120">
        <f>SUM(I18:I39)</f>
        <v>6150000</v>
      </c>
      <c r="J40" s="122"/>
      <c r="K40" s="120">
        <f>SUM(K18:K39)</f>
        <v>5535000</v>
      </c>
      <c r="L40" s="123"/>
      <c r="M40" s="124">
        <f>SUM(M18:M39)</f>
        <v>614999.99999999988</v>
      </c>
      <c r="N40" s="193"/>
    </row>
    <row r="41" spans="1:15">
      <c r="A41" s="53"/>
      <c r="B41" s="202"/>
      <c r="C41" s="203" t="s">
        <v>44</v>
      </c>
      <c r="D41" s="204"/>
      <c r="E41" s="247"/>
      <c r="F41" s="205"/>
      <c r="G41" s="206"/>
      <c r="H41" s="207"/>
      <c r="I41" s="208">
        <f>I40*F41</f>
        <v>0</v>
      </c>
      <c r="J41" s="209"/>
      <c r="K41" s="208">
        <f>K40*F41</f>
        <v>0</v>
      </c>
      <c r="L41" s="210"/>
      <c r="M41" s="211">
        <f>M40*F41</f>
        <v>0</v>
      </c>
      <c r="O41" s="193"/>
    </row>
    <row r="42" spans="1:15">
      <c r="A42" s="53"/>
      <c r="B42" s="223"/>
      <c r="C42" s="224" t="s">
        <v>58</v>
      </c>
      <c r="D42" s="225"/>
      <c r="E42" s="248"/>
      <c r="F42" s="226"/>
      <c r="G42" s="227">
        <v>0</v>
      </c>
      <c r="H42" s="228">
        <v>0</v>
      </c>
      <c r="I42" s="114">
        <f>H42*G42</f>
        <v>0</v>
      </c>
      <c r="J42" s="113">
        <v>0</v>
      </c>
      <c r="K42" s="114">
        <f>G42*J42</f>
        <v>0</v>
      </c>
      <c r="L42" s="113">
        <f>H42-J42</f>
        <v>0</v>
      </c>
      <c r="M42" s="115">
        <f>L42*G42</f>
        <v>0</v>
      </c>
    </row>
    <row r="43" spans="1:15">
      <c r="A43" s="126"/>
      <c r="B43" s="127"/>
      <c r="C43" s="128" t="s">
        <v>45</v>
      </c>
      <c r="D43" s="129"/>
      <c r="E43" s="249"/>
      <c r="F43" s="130"/>
      <c r="G43" s="131">
        <f>G40-G41+G42</f>
        <v>6150000</v>
      </c>
      <c r="H43" s="4" t="s">
        <v>46</v>
      </c>
      <c r="I43" s="134">
        <f>+I40-I41</f>
        <v>6150000</v>
      </c>
      <c r="J43" s="132"/>
      <c r="K43" s="134">
        <f>+K40-K41</f>
        <v>5535000</v>
      </c>
      <c r="L43" s="133"/>
      <c r="M43" s="134">
        <f>+M40-M41</f>
        <v>614999.99999999988</v>
      </c>
    </row>
    <row r="44" spans="1:15">
      <c r="A44" s="53"/>
      <c r="B44" s="117"/>
      <c r="C44" s="118" t="s">
        <v>47</v>
      </c>
      <c r="D44" s="55"/>
      <c r="E44" s="245"/>
      <c r="F44" s="119"/>
      <c r="G44" s="120">
        <f>G43*19%</f>
        <v>1168500</v>
      </c>
      <c r="H44" s="121"/>
      <c r="I44" s="120">
        <f>I43*19%</f>
        <v>1168500</v>
      </c>
      <c r="J44" s="122"/>
      <c r="K44" s="120">
        <f>K43*19%</f>
        <v>1051650</v>
      </c>
      <c r="L44" s="123"/>
      <c r="M44" s="120">
        <f>+M43*0.19</f>
        <v>116849.99999999999</v>
      </c>
      <c r="O44" s="193"/>
    </row>
    <row r="45" spans="1:15">
      <c r="A45" s="53"/>
      <c r="B45" s="125"/>
      <c r="C45" s="135" t="s">
        <v>48</v>
      </c>
      <c r="D45" s="60"/>
      <c r="E45" s="246"/>
      <c r="F45" s="116"/>
      <c r="G45" s="136">
        <f>SUM(G43:G44)</f>
        <v>7318500</v>
      </c>
      <c r="H45" s="137"/>
      <c r="I45" s="136">
        <f>SUM(I43:I44)</f>
        <v>7318500</v>
      </c>
      <c r="J45" s="138"/>
      <c r="K45" s="136">
        <f>SUM(K43:K44)</f>
        <v>6586650</v>
      </c>
      <c r="L45" s="139"/>
      <c r="M45" s="136">
        <f>SUM(M43:M44)</f>
        <v>731849.99999999988</v>
      </c>
    </row>
    <row r="46" spans="1:15">
      <c r="A46" s="53"/>
      <c r="B46" s="117"/>
      <c r="C46" s="67"/>
      <c r="D46" s="67"/>
      <c r="E46" s="250"/>
      <c r="F46" s="140"/>
      <c r="G46" s="68"/>
      <c r="H46" s="141"/>
      <c r="I46" s="142"/>
      <c r="J46" s="143"/>
      <c r="K46" s="142"/>
      <c r="L46" s="144"/>
      <c r="M46" s="145"/>
      <c r="O46" s="193"/>
    </row>
    <row r="47" spans="1:15">
      <c r="A47" s="53"/>
      <c r="B47" s="146"/>
      <c r="C47" s="147"/>
      <c r="D47" s="147"/>
      <c r="E47" s="230"/>
      <c r="F47" s="148"/>
      <c r="G47" s="149"/>
      <c r="H47" s="150"/>
      <c r="I47" s="151"/>
      <c r="J47" s="152"/>
      <c r="K47" s="151"/>
      <c r="L47" s="153"/>
      <c r="M47" s="154"/>
    </row>
    <row r="48" spans="1:15">
      <c r="A48" s="53"/>
      <c r="B48" s="146"/>
      <c r="C48" s="147"/>
      <c r="D48" s="147"/>
      <c r="E48" s="230"/>
      <c r="F48" s="148"/>
      <c r="G48" s="149"/>
      <c r="H48" s="150"/>
      <c r="I48" s="151"/>
      <c r="J48" s="152"/>
      <c r="K48" s="151"/>
      <c r="L48" s="153"/>
      <c r="M48" s="154"/>
    </row>
    <row r="49" spans="1:14">
      <c r="A49" s="53"/>
      <c r="B49" s="155"/>
      <c r="C49" s="147"/>
      <c r="D49" s="147"/>
      <c r="E49" s="230"/>
      <c r="F49" s="147"/>
      <c r="G49" s="147"/>
      <c r="H49" s="156"/>
      <c r="I49" s="157"/>
      <c r="J49" s="158"/>
      <c r="K49" s="159"/>
      <c r="L49" s="158"/>
      <c r="M49" s="160"/>
      <c r="N49" s="193"/>
    </row>
    <row r="50" spans="1:14">
      <c r="A50" s="53"/>
      <c r="B50" s="161"/>
      <c r="C50" s="77"/>
      <c r="D50" s="77"/>
      <c r="E50" s="251"/>
      <c r="F50" s="77"/>
      <c r="G50" s="162"/>
      <c r="H50" s="78"/>
      <c r="I50" s="77"/>
      <c r="J50" s="78"/>
      <c r="K50" s="77"/>
      <c r="L50" s="77"/>
      <c r="M50" s="163"/>
    </row>
    <row r="51" spans="1:14">
      <c r="A51" s="53"/>
      <c r="B51" s="155"/>
      <c r="C51" s="376"/>
      <c r="D51" s="377"/>
      <c r="E51" s="377"/>
      <c r="F51" s="378"/>
      <c r="G51" s="379"/>
      <c r="H51" s="380"/>
      <c r="I51" s="380"/>
      <c r="J51" s="381"/>
      <c r="K51" s="77"/>
      <c r="L51" s="77"/>
      <c r="M51" s="163"/>
    </row>
    <row r="52" spans="1:14">
      <c r="A52" s="53"/>
      <c r="B52" s="59"/>
      <c r="C52" s="60"/>
      <c r="D52" s="60"/>
      <c r="E52" s="239"/>
      <c r="F52" s="60"/>
      <c r="G52" s="61"/>
      <c r="H52" s="62"/>
      <c r="I52" s="60"/>
      <c r="J52" s="62"/>
      <c r="K52" s="60"/>
      <c r="L52" s="60"/>
      <c r="M52" s="164"/>
    </row>
    <row r="53" spans="1:14">
      <c r="A53" s="53"/>
      <c r="B53" s="165"/>
      <c r="C53" s="382"/>
      <c r="D53" s="383"/>
      <c r="E53" s="383"/>
      <c r="F53" s="383"/>
      <c r="G53" s="384"/>
      <c r="H53" s="385" t="s">
        <v>49</v>
      </c>
      <c r="I53" s="386"/>
      <c r="J53" s="386"/>
      <c r="K53" s="386"/>
      <c r="L53" s="386"/>
      <c r="M53" s="387"/>
    </row>
    <row r="54" spans="1:14">
      <c r="A54" s="53"/>
      <c r="B54" s="161"/>
      <c r="C54" s="77"/>
      <c r="D54" s="77"/>
      <c r="E54" s="251"/>
      <c r="F54" s="77"/>
      <c r="G54" s="162"/>
      <c r="H54" s="78"/>
      <c r="I54" s="77"/>
      <c r="J54" s="78"/>
      <c r="K54" s="77"/>
      <c r="L54" s="77"/>
      <c r="M54" s="163"/>
    </row>
    <row r="55" spans="1:14" ht="16" thickBot="1">
      <c r="A55" s="53"/>
      <c r="B55" s="166"/>
      <c r="C55" s="167"/>
      <c r="D55" s="167"/>
      <c r="E55" s="252"/>
      <c r="F55" s="167"/>
      <c r="G55" s="168"/>
      <c r="H55" s="169"/>
      <c r="I55" s="167"/>
      <c r="J55" s="169"/>
      <c r="K55" s="167"/>
      <c r="L55" s="167"/>
      <c r="M55" s="170"/>
    </row>
    <row r="57" spans="1:14">
      <c r="G57" s="229"/>
    </row>
  </sheetData>
  <mergeCells count="12">
    <mergeCell ref="C51:F51"/>
    <mergeCell ref="G51:J51"/>
    <mergeCell ref="C53:G53"/>
    <mergeCell ref="H53:M53"/>
    <mergeCell ref="B3:M3"/>
    <mergeCell ref="B12:M12"/>
    <mergeCell ref="H15:I15"/>
    <mergeCell ref="J15:K16"/>
    <mergeCell ref="L15:M15"/>
    <mergeCell ref="C16:F16"/>
    <mergeCell ref="H16:I16"/>
    <mergeCell ref="L16:M16"/>
  </mergeCells>
  <pageMargins left="0.70000000000000007" right="0.70000000000000007" top="0.75000000000000011" bottom="0.75000000000000011" header="0.30000000000000004" footer="0.30000000000000004"/>
  <pageSetup scale="32" orientation="landscape" horizontalDpi="4294967292" verticalDpi="4294967292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03864-C403-4ADD-8F90-BA91520746E7}">
  <sheetPr>
    <tabColor theme="0" tint="-0.499984740745262"/>
    <pageSetUpPr fitToPage="1"/>
  </sheetPr>
  <dimension ref="A1:O57"/>
  <sheetViews>
    <sheetView topLeftCell="A16" zoomScale="70" zoomScaleNormal="70" zoomScalePageLayoutView="70" workbookViewId="0">
      <selection activeCell="J19" sqref="J19:J37"/>
    </sheetView>
  </sheetViews>
  <sheetFormatPr baseColWidth="10" defaultRowHeight="15"/>
  <cols>
    <col min="1" max="1" width="4.33203125" style="51" customWidth="1"/>
    <col min="2" max="2" width="16.5" style="51" customWidth="1"/>
    <col min="3" max="3" width="55.1640625" style="51" customWidth="1"/>
    <col min="4" max="4" width="20.5" style="51" customWidth="1"/>
    <col min="5" max="5" width="21" style="253" customWidth="1"/>
    <col min="6" max="6" width="16" style="51" customWidth="1"/>
    <col min="7" max="7" width="19.5" style="51" customWidth="1"/>
    <col min="8" max="8" width="12.33203125" style="51" customWidth="1"/>
    <col min="9" max="9" width="18.83203125" style="51" customWidth="1"/>
    <col min="10" max="10" width="12.5" style="51" customWidth="1"/>
    <col min="11" max="11" width="19.83203125" style="51" customWidth="1"/>
    <col min="12" max="12" width="13.6640625" style="51" customWidth="1"/>
    <col min="13" max="13" width="23.1640625" style="51" customWidth="1"/>
    <col min="15" max="15" width="19" customWidth="1"/>
  </cols>
  <sheetData>
    <row r="1" spans="1:13">
      <c r="A1" s="1"/>
      <c r="B1" s="1"/>
      <c r="C1" s="1"/>
      <c r="D1" s="1"/>
      <c r="E1" s="236"/>
      <c r="F1" s="1"/>
      <c r="G1" s="1"/>
      <c r="H1" s="1"/>
      <c r="I1" s="1"/>
      <c r="J1" s="1"/>
      <c r="K1" s="1"/>
      <c r="L1" s="1"/>
      <c r="M1" s="1"/>
    </row>
    <row r="2" spans="1:13" ht="16" thickBot="1">
      <c r="A2" s="1"/>
      <c r="B2" s="52"/>
      <c r="C2" s="52"/>
      <c r="D2" s="52"/>
      <c r="E2" s="237"/>
      <c r="F2" s="52"/>
      <c r="G2" s="52"/>
      <c r="H2" s="52"/>
      <c r="I2" s="52"/>
      <c r="J2" s="52"/>
      <c r="K2" s="52"/>
      <c r="L2" s="52"/>
      <c r="M2" s="52"/>
    </row>
    <row r="3" spans="1:13" ht="21">
      <c r="A3" s="53"/>
      <c r="B3" s="388" t="s">
        <v>50</v>
      </c>
      <c r="C3" s="389"/>
      <c r="D3" s="389"/>
      <c r="E3" s="389"/>
      <c r="F3" s="389"/>
      <c r="G3" s="389"/>
      <c r="H3" s="389"/>
      <c r="I3" s="389"/>
      <c r="J3" s="389"/>
      <c r="K3" s="389"/>
      <c r="L3" s="389"/>
      <c r="M3" s="390"/>
    </row>
    <row r="4" spans="1:13">
      <c r="A4" s="53"/>
      <c r="B4" s="54"/>
      <c r="C4" s="55"/>
      <c r="D4" s="55"/>
      <c r="E4" s="238"/>
      <c r="F4" s="55"/>
      <c r="G4" s="56"/>
      <c r="H4" s="57"/>
      <c r="I4" s="55"/>
      <c r="J4" s="57"/>
      <c r="K4" s="55"/>
      <c r="L4" s="55"/>
      <c r="M4" s="58"/>
    </row>
    <row r="5" spans="1:13">
      <c r="A5" s="53"/>
      <c r="B5" s="59"/>
      <c r="C5" s="60"/>
      <c r="D5" s="60"/>
      <c r="E5" s="239"/>
      <c r="F5" s="60"/>
      <c r="G5" s="61"/>
      <c r="H5" s="62"/>
      <c r="I5" s="60"/>
      <c r="J5" s="62"/>
      <c r="K5" s="60"/>
      <c r="L5" s="60"/>
      <c r="M5" s="63" t="str">
        <f>+RESUMEN!D19</f>
        <v>CORREDORA LUZ MARIA CORREA</v>
      </c>
    </row>
    <row r="6" spans="1:13" ht="16">
      <c r="A6" s="53"/>
      <c r="B6" s="64" t="s">
        <v>23</v>
      </c>
      <c r="C6" s="65" t="str">
        <f>+RESUMEN!C9</f>
        <v>REMODELACION BAÑOS SHC LA CALERA</v>
      </c>
      <c r="D6" s="66"/>
      <c r="E6" s="240"/>
      <c r="F6" s="67"/>
      <c r="G6" s="68"/>
      <c r="H6" s="69"/>
      <c r="I6" s="67"/>
      <c r="J6" s="69"/>
      <c r="K6" s="67"/>
      <c r="L6" s="67"/>
      <c r="M6" s="70"/>
    </row>
    <row r="7" spans="1:13" ht="16">
      <c r="A7" s="53"/>
      <c r="B7" s="71" t="s">
        <v>24</v>
      </c>
      <c r="C7" s="72" t="str">
        <f>+RESUMEN!C10</f>
        <v>MALL OPEN PLAZA LA CALERA</v>
      </c>
      <c r="D7" s="73"/>
      <c r="E7" s="241"/>
      <c r="F7" s="74"/>
      <c r="G7" s="75"/>
      <c r="H7" s="76"/>
      <c r="I7" s="77"/>
      <c r="J7" s="78"/>
      <c r="K7" s="74"/>
      <c r="L7" s="74"/>
      <c r="M7" s="79" t="s">
        <v>25</v>
      </c>
    </row>
    <row r="8" spans="1:13" ht="16">
      <c r="A8" s="53"/>
      <c r="B8" s="71" t="s">
        <v>19</v>
      </c>
      <c r="C8" s="171" t="str">
        <f>+RESUMEN!B20</f>
        <v>DPTO 752 CONDOMINIO RAVELLO</v>
      </c>
      <c r="D8" s="73"/>
      <c r="E8" s="241"/>
      <c r="F8" s="74"/>
      <c r="G8" s="75"/>
      <c r="H8" s="76"/>
      <c r="I8" s="74"/>
      <c r="J8" s="76"/>
      <c r="K8" s="74"/>
      <c r="L8" s="74"/>
      <c r="M8" s="80" t="str">
        <f>+RESUMEN!I15</f>
        <v>EEPP#06</v>
      </c>
    </row>
    <row r="9" spans="1:13" ht="16">
      <c r="A9" s="53"/>
      <c r="B9" s="71" t="s">
        <v>26</v>
      </c>
      <c r="C9" s="72"/>
      <c r="D9" s="73"/>
      <c r="E9" s="242"/>
      <c r="F9" s="73"/>
      <c r="G9" s="75"/>
      <c r="H9" s="76"/>
      <c r="I9" s="74"/>
      <c r="J9" s="76"/>
      <c r="K9" s="74"/>
      <c r="L9" s="74"/>
      <c r="M9" s="81"/>
    </row>
    <row r="10" spans="1:13" ht="16">
      <c r="A10" s="53"/>
      <c r="B10" s="82" t="s">
        <v>27</v>
      </c>
      <c r="C10" s="83" t="str">
        <f>+RESUMEN!C20</f>
        <v>11.520.369-K</v>
      </c>
      <c r="D10" s="84"/>
      <c r="E10" s="243"/>
      <c r="F10" s="85"/>
      <c r="G10" s="86"/>
      <c r="H10" s="87"/>
      <c r="I10" s="85"/>
      <c r="J10" s="87"/>
      <c r="K10" s="85"/>
      <c r="L10" s="85"/>
      <c r="M10" s="88"/>
    </row>
    <row r="11" spans="1:13" ht="16">
      <c r="A11" s="53"/>
      <c r="B11" s="82" t="s">
        <v>52</v>
      </c>
      <c r="C11" s="201"/>
      <c r="D11" s="84"/>
      <c r="E11" s="243"/>
      <c r="F11" s="85"/>
      <c r="G11" s="86"/>
      <c r="H11" s="87"/>
      <c r="I11" s="85"/>
      <c r="J11" s="87"/>
      <c r="K11" s="85"/>
      <c r="L11" s="85"/>
      <c r="M11" s="88"/>
    </row>
    <row r="12" spans="1:13">
      <c r="A12" s="53"/>
      <c r="B12" s="391"/>
      <c r="C12" s="392"/>
      <c r="D12" s="392"/>
      <c r="E12" s="392"/>
      <c r="F12" s="392"/>
      <c r="G12" s="392"/>
      <c r="H12" s="392"/>
      <c r="I12" s="392"/>
      <c r="J12" s="392"/>
      <c r="K12" s="392"/>
      <c r="L12" s="392"/>
      <c r="M12" s="393"/>
    </row>
    <row r="13" spans="1:13" ht="16">
      <c r="A13" s="53"/>
      <c r="B13" s="89" t="s">
        <v>28</v>
      </c>
      <c r="C13" s="90"/>
      <c r="D13" s="90"/>
      <c r="E13" s="91">
        <f>G40</f>
        <v>4050000</v>
      </c>
      <c r="F13" s="92"/>
      <c r="G13" s="93"/>
      <c r="H13" s="94"/>
      <c r="I13" s="92"/>
      <c r="J13" s="94"/>
      <c r="K13" s="92"/>
      <c r="L13" s="95" t="s">
        <v>29</v>
      </c>
      <c r="M13" s="96">
        <f>+RESUMEN!I17</f>
        <v>45947</v>
      </c>
    </row>
    <row r="14" spans="1:13">
      <c r="A14" s="53"/>
      <c r="B14" s="97"/>
      <c r="C14" s="92"/>
      <c r="D14" s="92"/>
      <c r="E14" s="244"/>
      <c r="F14" s="92"/>
      <c r="G14" s="93"/>
      <c r="H14" s="94"/>
      <c r="I14" s="92"/>
      <c r="J14" s="94"/>
      <c r="K14" s="92"/>
      <c r="L14" s="92"/>
      <c r="M14" s="98"/>
    </row>
    <row r="15" spans="1:13">
      <c r="A15" s="53"/>
      <c r="B15" s="99"/>
      <c r="C15" s="100"/>
      <c r="D15" s="101"/>
      <c r="E15" s="245"/>
      <c r="F15" s="102"/>
      <c r="G15" s="103" t="s">
        <v>30</v>
      </c>
      <c r="H15" s="394" t="s">
        <v>31</v>
      </c>
      <c r="I15" s="395"/>
      <c r="J15" s="396" t="s">
        <v>32</v>
      </c>
      <c r="K15" s="397"/>
      <c r="L15" s="405" t="s">
        <v>33</v>
      </c>
      <c r="M15" s="406"/>
    </row>
    <row r="16" spans="1:13">
      <c r="A16" s="53"/>
      <c r="B16" s="104" t="s">
        <v>34</v>
      </c>
      <c r="C16" s="400" t="s">
        <v>35</v>
      </c>
      <c r="D16" s="401"/>
      <c r="E16" s="401"/>
      <c r="F16" s="402"/>
      <c r="G16" s="105" t="s">
        <v>16</v>
      </c>
      <c r="H16" s="403" t="s">
        <v>36</v>
      </c>
      <c r="I16" s="404"/>
      <c r="J16" s="398"/>
      <c r="K16" s="399"/>
      <c r="L16" s="407" t="s">
        <v>37</v>
      </c>
      <c r="M16" s="408"/>
    </row>
    <row r="17" spans="1:15">
      <c r="A17" s="53"/>
      <c r="B17" s="106"/>
      <c r="C17" s="107"/>
      <c r="D17" s="257"/>
      <c r="E17" s="258"/>
      <c r="F17" s="259"/>
      <c r="G17" s="181"/>
      <c r="H17" s="108" t="s">
        <v>38</v>
      </c>
      <c r="I17" s="108" t="s">
        <v>39</v>
      </c>
      <c r="J17" s="108" t="s">
        <v>38</v>
      </c>
      <c r="K17" s="108" t="s">
        <v>39</v>
      </c>
      <c r="L17" s="108" t="s">
        <v>38</v>
      </c>
      <c r="M17" s="109" t="s">
        <v>39</v>
      </c>
    </row>
    <row r="18" spans="1:15">
      <c r="A18" s="53"/>
      <c r="B18" s="182"/>
      <c r="C18" s="254"/>
      <c r="D18" s="284" t="s">
        <v>40</v>
      </c>
      <c r="E18" s="285" t="s">
        <v>41</v>
      </c>
      <c r="F18" s="286" t="s">
        <v>42</v>
      </c>
      <c r="G18" s="256"/>
      <c r="H18" s="179"/>
      <c r="I18" s="110"/>
      <c r="J18" s="111"/>
      <c r="K18" s="110"/>
      <c r="L18" s="111"/>
      <c r="M18" s="112"/>
    </row>
    <row r="19" spans="1:15">
      <c r="A19" s="53"/>
      <c r="B19" s="271">
        <v>1</v>
      </c>
      <c r="C19" s="254" t="s">
        <v>90</v>
      </c>
      <c r="D19" s="265" t="s">
        <v>88</v>
      </c>
      <c r="E19" s="266">
        <v>2</v>
      </c>
      <c r="F19" s="182">
        <v>185000</v>
      </c>
      <c r="G19" s="275">
        <f t="shared" ref="G19:G37" si="0">+F19*E19</f>
        <v>370000</v>
      </c>
      <c r="H19" s="276">
        <v>1</v>
      </c>
      <c r="I19" s="277">
        <f>H19*G19</f>
        <v>370000</v>
      </c>
      <c r="J19" s="276">
        <v>1</v>
      </c>
      <c r="K19" s="277">
        <f>J19*G19</f>
        <v>370000</v>
      </c>
      <c r="L19" s="278">
        <f>H19-J19</f>
        <v>0</v>
      </c>
      <c r="M19" s="279">
        <f>L19*G19</f>
        <v>0</v>
      </c>
      <c r="O19" s="193"/>
    </row>
    <row r="20" spans="1:15">
      <c r="A20" s="53"/>
      <c r="B20" s="271"/>
      <c r="C20" s="254" t="s">
        <v>91</v>
      </c>
      <c r="D20" s="265"/>
      <c r="E20" s="266"/>
      <c r="F20" s="182"/>
      <c r="G20" s="275"/>
      <c r="H20" s="276"/>
      <c r="I20" s="277"/>
      <c r="J20" s="276"/>
      <c r="K20" s="277"/>
      <c r="L20" s="278"/>
      <c r="M20" s="279"/>
      <c r="O20" s="193"/>
    </row>
    <row r="21" spans="1:15">
      <c r="A21" s="53"/>
      <c r="B21" s="271"/>
      <c r="C21" s="254" t="s">
        <v>92</v>
      </c>
      <c r="D21" s="265"/>
      <c r="E21" s="266"/>
      <c r="F21" s="182"/>
      <c r="G21" s="275"/>
      <c r="H21" s="276"/>
      <c r="I21" s="277"/>
      <c r="J21" s="276"/>
      <c r="K21" s="277"/>
      <c r="L21" s="278"/>
      <c r="M21" s="279"/>
      <c r="O21" s="193"/>
    </row>
    <row r="22" spans="1:15">
      <c r="A22" s="53"/>
      <c r="B22" s="271"/>
      <c r="C22" s="254" t="s">
        <v>93</v>
      </c>
      <c r="D22" s="265"/>
      <c r="E22" s="266"/>
      <c r="F22" s="182"/>
      <c r="G22" s="275"/>
      <c r="H22" s="276"/>
      <c r="I22" s="277"/>
      <c r="J22" s="276"/>
      <c r="K22" s="277"/>
      <c r="L22" s="278"/>
      <c r="M22" s="279"/>
      <c r="O22" s="193"/>
    </row>
    <row r="23" spans="1:15">
      <c r="A23" s="53"/>
      <c r="B23" s="271"/>
      <c r="C23" s="254" t="s">
        <v>94</v>
      </c>
      <c r="D23" s="265"/>
      <c r="E23" s="266"/>
      <c r="F23" s="182"/>
      <c r="G23" s="275"/>
      <c r="H23" s="276"/>
      <c r="I23" s="277"/>
      <c r="J23" s="276"/>
      <c r="K23" s="277"/>
      <c r="L23" s="278"/>
      <c r="M23" s="279"/>
      <c r="O23" s="193"/>
    </row>
    <row r="24" spans="1:15" ht="14.25" customHeight="1">
      <c r="A24" s="53"/>
      <c r="B24" s="267"/>
      <c r="C24" s="254" t="s">
        <v>95</v>
      </c>
      <c r="D24" s="265"/>
      <c r="E24" s="266"/>
      <c r="F24" s="182"/>
      <c r="G24" s="275"/>
      <c r="H24" s="276"/>
      <c r="I24" s="277"/>
      <c r="J24" s="276"/>
      <c r="K24" s="277"/>
      <c r="L24" s="278"/>
      <c r="M24" s="279"/>
      <c r="O24" s="193"/>
    </row>
    <row r="25" spans="1:15">
      <c r="A25" s="53"/>
      <c r="B25" s="267"/>
      <c r="C25" s="254"/>
      <c r="D25" s="265"/>
      <c r="E25" s="266"/>
      <c r="F25" s="182"/>
      <c r="G25" s="275"/>
      <c r="H25" s="276"/>
      <c r="I25" s="277"/>
      <c r="J25" s="276"/>
      <c r="K25" s="277"/>
      <c r="L25" s="278"/>
      <c r="M25" s="279"/>
      <c r="O25" s="193"/>
    </row>
    <row r="26" spans="1:15">
      <c r="A26" s="53"/>
      <c r="B26" s="267"/>
      <c r="C26" s="254" t="s">
        <v>96</v>
      </c>
      <c r="D26" s="265" t="s">
        <v>88</v>
      </c>
      <c r="E26" s="266">
        <v>2</v>
      </c>
      <c r="F26" s="182">
        <v>1170000</v>
      </c>
      <c r="G26" s="275">
        <f t="shared" si="0"/>
        <v>2340000</v>
      </c>
      <c r="H26" s="276">
        <v>1</v>
      </c>
      <c r="I26" s="277">
        <f t="shared" ref="I26:I37" si="1">H26*G26</f>
        <v>2340000</v>
      </c>
      <c r="J26" s="276">
        <v>1</v>
      </c>
      <c r="K26" s="277">
        <f t="shared" ref="K26:K37" si="2">J26*G26</f>
        <v>2340000</v>
      </c>
      <c r="L26" s="278">
        <f t="shared" ref="L26:L37" si="3">H26-J26</f>
        <v>0</v>
      </c>
      <c r="M26" s="279">
        <f t="shared" ref="M26:M37" si="4">L26*G26</f>
        <v>0</v>
      </c>
      <c r="O26" s="193"/>
    </row>
    <row r="27" spans="1:15">
      <c r="A27" s="53"/>
      <c r="B27" s="267"/>
      <c r="C27" s="254" t="s">
        <v>97</v>
      </c>
      <c r="D27" s="265"/>
      <c r="E27" s="266"/>
      <c r="F27" s="182"/>
      <c r="G27" s="275"/>
      <c r="H27" s="276"/>
      <c r="I27" s="277"/>
      <c r="J27" s="276"/>
      <c r="K27" s="277"/>
      <c r="L27" s="278"/>
      <c r="M27" s="279"/>
      <c r="O27" s="193"/>
    </row>
    <row r="28" spans="1:15">
      <c r="A28" s="53"/>
      <c r="B28" s="267"/>
      <c r="C28" s="254" t="s">
        <v>98</v>
      </c>
      <c r="D28" s="265"/>
      <c r="E28" s="266"/>
      <c r="F28" s="182"/>
      <c r="G28" s="275"/>
      <c r="H28" s="276"/>
      <c r="I28" s="277"/>
      <c r="J28" s="276"/>
      <c r="K28" s="277"/>
      <c r="L28" s="278"/>
      <c r="M28" s="279"/>
      <c r="O28" s="193"/>
    </row>
    <row r="29" spans="1:15">
      <c r="A29" s="53"/>
      <c r="B29" s="267"/>
      <c r="C29" s="254" t="s">
        <v>99</v>
      </c>
      <c r="D29" s="265"/>
      <c r="E29" s="266"/>
      <c r="F29" s="182"/>
      <c r="G29" s="275"/>
      <c r="H29" s="276"/>
      <c r="I29" s="277"/>
      <c r="J29" s="276"/>
      <c r="K29" s="277"/>
      <c r="L29" s="278"/>
      <c r="M29" s="279"/>
      <c r="O29" s="193"/>
    </row>
    <row r="30" spans="1:15">
      <c r="A30" s="53"/>
      <c r="B30" s="267"/>
      <c r="C30" s="254" t="s">
        <v>100</v>
      </c>
      <c r="D30" s="265"/>
      <c r="E30" s="266"/>
      <c r="F30" s="182"/>
      <c r="G30" s="275"/>
      <c r="H30" s="276"/>
      <c r="I30" s="277"/>
      <c r="J30" s="276"/>
      <c r="K30" s="277"/>
      <c r="L30" s="278"/>
      <c r="M30" s="279"/>
      <c r="O30" s="193"/>
    </row>
    <row r="31" spans="1:15">
      <c r="A31" s="53"/>
      <c r="B31" s="267"/>
      <c r="C31" s="254" t="s">
        <v>101</v>
      </c>
      <c r="D31" s="265"/>
      <c r="E31" s="266"/>
      <c r="F31" s="182"/>
      <c r="G31" s="275"/>
      <c r="H31" s="276"/>
      <c r="I31" s="277"/>
      <c r="J31" s="276"/>
      <c r="K31" s="277"/>
      <c r="L31" s="278"/>
      <c r="M31" s="279"/>
      <c r="O31" s="193"/>
    </row>
    <row r="32" spans="1:15">
      <c r="A32" s="53"/>
      <c r="B32" s="267"/>
      <c r="C32" s="254" t="s">
        <v>102</v>
      </c>
      <c r="D32" s="265"/>
      <c r="E32" s="266"/>
      <c r="F32" s="182"/>
      <c r="G32" s="275"/>
      <c r="H32" s="276"/>
      <c r="I32" s="277"/>
      <c r="J32" s="276"/>
      <c r="K32" s="277"/>
      <c r="L32" s="278"/>
      <c r="M32" s="279"/>
      <c r="O32" s="193"/>
    </row>
    <row r="33" spans="1:15">
      <c r="A33" s="53"/>
      <c r="B33" s="267"/>
      <c r="C33" s="254" t="s">
        <v>103</v>
      </c>
      <c r="D33" s="265" t="s">
        <v>88</v>
      </c>
      <c r="E33" s="266">
        <v>3</v>
      </c>
      <c r="F33" s="182">
        <v>260000</v>
      </c>
      <c r="G33" s="275">
        <f t="shared" si="0"/>
        <v>780000</v>
      </c>
      <c r="H33" s="276">
        <v>1</v>
      </c>
      <c r="I33" s="277">
        <f t="shared" si="1"/>
        <v>780000</v>
      </c>
      <c r="J33" s="276">
        <v>1</v>
      </c>
      <c r="K33" s="277">
        <f t="shared" si="2"/>
        <v>780000</v>
      </c>
      <c r="L33" s="278">
        <f t="shared" si="3"/>
        <v>0</v>
      </c>
      <c r="M33" s="279">
        <f t="shared" si="4"/>
        <v>0</v>
      </c>
      <c r="O33" s="193"/>
    </row>
    <row r="34" spans="1:15">
      <c r="A34" s="53"/>
      <c r="B34" s="267"/>
      <c r="C34" s="254" t="s">
        <v>106</v>
      </c>
      <c r="D34" s="265" t="s">
        <v>88</v>
      </c>
      <c r="E34" s="266">
        <v>1</v>
      </c>
      <c r="F34" s="182">
        <v>380000</v>
      </c>
      <c r="G34" s="275">
        <f t="shared" si="0"/>
        <v>380000</v>
      </c>
      <c r="H34" s="276">
        <v>1</v>
      </c>
      <c r="I34" s="277">
        <f t="shared" si="1"/>
        <v>380000</v>
      </c>
      <c r="J34" s="276">
        <v>1</v>
      </c>
      <c r="K34" s="277">
        <f t="shared" si="2"/>
        <v>380000</v>
      </c>
      <c r="L34" s="278">
        <f t="shared" si="3"/>
        <v>0</v>
      </c>
      <c r="M34" s="279">
        <f t="shared" si="4"/>
        <v>0</v>
      </c>
      <c r="O34" s="193"/>
    </row>
    <row r="35" spans="1:15">
      <c r="A35" s="53"/>
      <c r="B35" s="267"/>
      <c r="C35" s="254" t="s">
        <v>106</v>
      </c>
      <c r="D35" s="265" t="s">
        <v>88</v>
      </c>
      <c r="E35" s="266">
        <v>1</v>
      </c>
      <c r="F35" s="182">
        <v>90000</v>
      </c>
      <c r="G35" s="275">
        <f t="shared" si="0"/>
        <v>90000</v>
      </c>
      <c r="H35" s="276">
        <v>1</v>
      </c>
      <c r="I35" s="277">
        <f t="shared" si="1"/>
        <v>90000</v>
      </c>
      <c r="J35" s="276">
        <v>1</v>
      </c>
      <c r="K35" s="277">
        <f t="shared" si="2"/>
        <v>90000</v>
      </c>
      <c r="L35" s="278">
        <f t="shared" si="3"/>
        <v>0</v>
      </c>
      <c r="M35" s="279">
        <f t="shared" si="4"/>
        <v>0</v>
      </c>
      <c r="O35" s="193"/>
    </row>
    <row r="36" spans="1:15">
      <c r="A36" s="53"/>
      <c r="B36" s="267"/>
      <c r="C36" s="254" t="s">
        <v>104</v>
      </c>
      <c r="D36" s="265" t="s">
        <v>88</v>
      </c>
      <c r="E36" s="266">
        <v>1</v>
      </c>
      <c r="F36" s="182">
        <v>250000</v>
      </c>
      <c r="G36" s="255">
        <f t="shared" si="0"/>
        <v>250000</v>
      </c>
      <c r="H36" s="276">
        <v>1</v>
      </c>
      <c r="I36" s="277">
        <f t="shared" si="1"/>
        <v>250000</v>
      </c>
      <c r="J36" s="276">
        <v>1</v>
      </c>
      <c r="K36" s="277">
        <f t="shared" si="2"/>
        <v>250000</v>
      </c>
      <c r="L36" s="278">
        <f t="shared" si="3"/>
        <v>0</v>
      </c>
      <c r="M36" s="279">
        <f t="shared" si="4"/>
        <v>0</v>
      </c>
      <c r="O36" s="193"/>
    </row>
    <row r="37" spans="1:15">
      <c r="A37" s="53"/>
      <c r="B37" s="267"/>
      <c r="C37" s="287" t="s">
        <v>105</v>
      </c>
      <c r="D37" s="353" t="s">
        <v>88</v>
      </c>
      <c r="E37" s="288">
        <v>-1</v>
      </c>
      <c r="F37" s="289">
        <v>160000</v>
      </c>
      <c r="G37" s="290">
        <f t="shared" si="0"/>
        <v>-160000</v>
      </c>
      <c r="H37" s="276">
        <v>1</v>
      </c>
      <c r="I37" s="343">
        <f t="shared" si="1"/>
        <v>-160000</v>
      </c>
      <c r="J37" s="276">
        <v>1</v>
      </c>
      <c r="K37" s="343">
        <f t="shared" si="2"/>
        <v>-160000</v>
      </c>
      <c r="L37" s="344">
        <f t="shared" si="3"/>
        <v>0</v>
      </c>
      <c r="M37" s="345">
        <f t="shared" si="4"/>
        <v>0</v>
      </c>
      <c r="O37" s="193"/>
    </row>
    <row r="38" spans="1:15">
      <c r="A38" s="53"/>
      <c r="B38" s="267"/>
      <c r="C38" s="254"/>
      <c r="D38" s="265"/>
      <c r="E38" s="266"/>
      <c r="F38" s="182"/>
      <c r="G38" s="255"/>
      <c r="H38" s="180"/>
      <c r="I38" s="114"/>
      <c r="J38" s="180"/>
      <c r="K38" s="114"/>
      <c r="L38" s="113"/>
      <c r="M38" s="115"/>
      <c r="O38" s="193"/>
    </row>
    <row r="39" spans="1:15">
      <c r="A39" s="53"/>
      <c r="B39" s="182"/>
      <c r="C39" s="254"/>
      <c r="D39" s="268"/>
      <c r="E39" s="264"/>
      <c r="F39" s="262"/>
      <c r="G39" s="255"/>
      <c r="H39" s="180"/>
      <c r="I39" s="114"/>
      <c r="J39" s="180"/>
      <c r="K39" s="114"/>
      <c r="L39" s="113"/>
      <c r="M39" s="115"/>
      <c r="O39" s="193"/>
    </row>
    <row r="40" spans="1:15">
      <c r="A40" s="53"/>
      <c r="B40" s="117"/>
      <c r="C40" s="118" t="s">
        <v>43</v>
      </c>
      <c r="D40" s="77"/>
      <c r="E40" s="258"/>
      <c r="F40" s="260"/>
      <c r="G40" s="235">
        <f>SUM(G18:G39)</f>
        <v>4050000</v>
      </c>
      <c r="H40" s="121"/>
      <c r="I40" s="120">
        <f>SUM(I18:I39)</f>
        <v>4050000</v>
      </c>
      <c r="J40" s="122"/>
      <c r="K40" s="120">
        <f>SUM(K18:K39)</f>
        <v>4050000</v>
      </c>
      <c r="L40" s="123"/>
      <c r="M40" s="124">
        <f>SUM(M18:M39)</f>
        <v>0</v>
      </c>
    </row>
    <row r="41" spans="1:15">
      <c r="A41" s="53"/>
      <c r="B41" s="202"/>
      <c r="C41" s="203" t="s">
        <v>44</v>
      </c>
      <c r="D41" s="204"/>
      <c r="E41" s="247"/>
      <c r="F41" s="205"/>
      <c r="G41" s="206"/>
      <c r="H41" s="207"/>
      <c r="I41" s="208">
        <f>I40*F41</f>
        <v>0</v>
      </c>
      <c r="J41" s="209"/>
      <c r="K41" s="208">
        <f>K40*F41</f>
        <v>0</v>
      </c>
      <c r="L41" s="210"/>
      <c r="M41" s="211">
        <f>M40*F41</f>
        <v>0</v>
      </c>
      <c r="O41" s="193"/>
    </row>
    <row r="42" spans="1:15">
      <c r="A42" s="53"/>
      <c r="B42" s="223"/>
      <c r="C42" s="224" t="s">
        <v>58</v>
      </c>
      <c r="D42" s="225"/>
      <c r="E42" s="248"/>
      <c r="F42" s="226"/>
      <c r="G42" s="227">
        <v>0</v>
      </c>
      <c r="H42" s="228">
        <v>0</v>
      </c>
      <c r="I42" s="114">
        <f>H42*G42</f>
        <v>0</v>
      </c>
      <c r="J42" s="113">
        <v>0</v>
      </c>
      <c r="K42" s="114">
        <f>G42*J42</f>
        <v>0</v>
      </c>
      <c r="L42" s="113">
        <f>H42-J42</f>
        <v>0</v>
      </c>
      <c r="M42" s="115">
        <f>L42*G42</f>
        <v>0</v>
      </c>
    </row>
    <row r="43" spans="1:15">
      <c r="A43" s="126"/>
      <c r="B43" s="127"/>
      <c r="C43" s="128" t="s">
        <v>45</v>
      </c>
      <c r="D43" s="129"/>
      <c r="E43" s="249"/>
      <c r="F43" s="130"/>
      <c r="G43" s="131">
        <f>G40-G41+G42</f>
        <v>4050000</v>
      </c>
      <c r="H43" s="4" t="s">
        <v>46</v>
      </c>
      <c r="I43" s="134">
        <f>+I40-I41</f>
        <v>4050000</v>
      </c>
      <c r="J43" s="132"/>
      <c r="K43" s="134">
        <f>+K40-K41</f>
        <v>4050000</v>
      </c>
      <c r="L43" s="133"/>
      <c r="M43" s="134">
        <f>+M40-M41</f>
        <v>0</v>
      </c>
    </row>
    <row r="44" spans="1:15">
      <c r="A44" s="53"/>
      <c r="B44" s="117"/>
      <c r="C44" s="118" t="s">
        <v>47</v>
      </c>
      <c r="D44" s="55"/>
      <c r="E44" s="245"/>
      <c r="F44" s="119"/>
      <c r="G44" s="120">
        <f>G43*19%</f>
        <v>769500</v>
      </c>
      <c r="H44" s="121"/>
      <c r="I44" s="120">
        <f>I43*19%</f>
        <v>769500</v>
      </c>
      <c r="J44" s="122"/>
      <c r="K44" s="120">
        <f>K43*19%</f>
        <v>769500</v>
      </c>
      <c r="L44" s="123"/>
      <c r="M44" s="120">
        <f>+M43*0.19</f>
        <v>0</v>
      </c>
      <c r="O44" s="193"/>
    </row>
    <row r="45" spans="1:15">
      <c r="A45" s="53"/>
      <c r="B45" s="125"/>
      <c r="C45" s="135" t="s">
        <v>48</v>
      </c>
      <c r="D45" s="60"/>
      <c r="E45" s="246"/>
      <c r="F45" s="116"/>
      <c r="G45" s="136">
        <f>SUM(G43:G44)</f>
        <v>4819500</v>
      </c>
      <c r="H45" s="137"/>
      <c r="I45" s="136">
        <f>SUM(I43:I44)</f>
        <v>4819500</v>
      </c>
      <c r="J45" s="138"/>
      <c r="K45" s="136">
        <f>SUM(K43:K44)</f>
        <v>4819500</v>
      </c>
      <c r="L45" s="139"/>
      <c r="M45" s="136">
        <f>SUM(M43:M44)</f>
        <v>0</v>
      </c>
    </row>
    <row r="46" spans="1:15">
      <c r="A46" s="53"/>
      <c r="B46" s="117"/>
      <c r="C46" s="67"/>
      <c r="D46" s="67"/>
      <c r="E46" s="250"/>
      <c r="F46" s="140"/>
      <c r="G46" s="68"/>
      <c r="H46" s="141"/>
      <c r="I46" s="142"/>
      <c r="J46" s="143"/>
      <c r="K46" s="142"/>
      <c r="L46" s="144"/>
      <c r="M46" s="145"/>
      <c r="O46" s="193"/>
    </row>
    <row r="47" spans="1:15">
      <c r="A47" s="53"/>
      <c r="B47" s="146"/>
      <c r="C47" s="147"/>
      <c r="D47" s="147"/>
      <c r="E47" s="230"/>
      <c r="F47" s="148"/>
      <c r="G47" s="149"/>
      <c r="H47" s="150"/>
      <c r="I47" s="151"/>
      <c r="J47" s="152"/>
      <c r="K47" s="151"/>
      <c r="L47" s="153"/>
      <c r="M47" s="154"/>
    </row>
    <row r="48" spans="1:15">
      <c r="A48" s="53"/>
      <c r="B48" s="146"/>
      <c r="C48" s="147"/>
      <c r="D48" s="147"/>
      <c r="E48" s="230"/>
      <c r="F48" s="148"/>
      <c r="G48" s="149"/>
      <c r="H48" s="150"/>
      <c r="I48" s="151"/>
      <c r="J48" s="152"/>
      <c r="K48" s="151"/>
      <c r="L48" s="153"/>
      <c r="M48" s="154"/>
    </row>
    <row r="49" spans="1:13">
      <c r="A49" s="53"/>
      <c r="B49" s="155"/>
      <c r="C49" s="147"/>
      <c r="D49" s="147"/>
      <c r="E49" s="230"/>
      <c r="F49" s="147"/>
      <c r="G49" s="147"/>
      <c r="H49" s="156"/>
      <c r="I49" s="157"/>
      <c r="J49" s="158"/>
      <c r="K49" s="159"/>
      <c r="L49" s="158"/>
      <c r="M49" s="160"/>
    </row>
    <row r="50" spans="1:13">
      <c r="A50" s="53"/>
      <c r="B50" s="161"/>
      <c r="C50" s="77"/>
      <c r="D50" s="77"/>
      <c r="E50" s="251"/>
      <c r="F50" s="77"/>
      <c r="G50" s="162"/>
      <c r="H50" s="78"/>
      <c r="I50" s="77"/>
      <c r="J50" s="78"/>
      <c r="K50" s="77"/>
      <c r="L50" s="77"/>
      <c r="M50" s="163"/>
    </row>
    <row r="51" spans="1:13">
      <c r="A51" s="53"/>
      <c r="B51" s="155"/>
      <c r="C51" s="376"/>
      <c r="D51" s="377"/>
      <c r="E51" s="377"/>
      <c r="F51" s="378"/>
      <c r="G51" s="379"/>
      <c r="H51" s="380"/>
      <c r="I51" s="380"/>
      <c r="J51" s="381"/>
      <c r="K51" s="77"/>
      <c r="L51" s="77"/>
      <c r="M51" s="163"/>
    </row>
    <row r="52" spans="1:13">
      <c r="A52" s="53"/>
      <c r="B52" s="59"/>
      <c r="C52" s="60"/>
      <c r="D52" s="60"/>
      <c r="E52" s="239"/>
      <c r="F52" s="60"/>
      <c r="G52" s="61"/>
      <c r="H52" s="62"/>
      <c r="I52" s="60"/>
      <c r="J52" s="62"/>
      <c r="K52" s="60"/>
      <c r="L52" s="60"/>
      <c r="M52" s="164"/>
    </row>
    <row r="53" spans="1:13">
      <c r="A53" s="53"/>
      <c r="B53" s="165"/>
      <c r="C53" s="382"/>
      <c r="D53" s="383"/>
      <c r="E53" s="383"/>
      <c r="F53" s="383"/>
      <c r="G53" s="384"/>
      <c r="H53" s="385" t="s">
        <v>49</v>
      </c>
      <c r="I53" s="386"/>
      <c r="J53" s="386"/>
      <c r="K53" s="386"/>
      <c r="L53" s="386"/>
      <c r="M53" s="387"/>
    </row>
    <row r="54" spans="1:13">
      <c r="A54" s="53"/>
      <c r="B54" s="161"/>
      <c r="C54" s="77"/>
      <c r="D54" s="77"/>
      <c r="E54" s="251"/>
      <c r="F54" s="77"/>
      <c r="G54" s="162"/>
      <c r="H54" s="78"/>
      <c r="I54" s="77"/>
      <c r="J54" s="78"/>
      <c r="K54" s="77"/>
      <c r="L54" s="77"/>
      <c r="M54" s="163"/>
    </row>
    <row r="55" spans="1:13" ht="16" thickBot="1">
      <c r="A55" s="53"/>
      <c r="B55" s="166"/>
      <c r="C55" s="167"/>
      <c r="D55" s="167"/>
      <c r="E55" s="252"/>
      <c r="F55" s="167"/>
      <c r="G55" s="168"/>
      <c r="H55" s="169"/>
      <c r="I55" s="167"/>
      <c r="J55" s="169"/>
      <c r="K55" s="167"/>
      <c r="L55" s="167"/>
      <c r="M55" s="170"/>
    </row>
    <row r="57" spans="1:13">
      <c r="G57" s="229"/>
    </row>
  </sheetData>
  <mergeCells count="12">
    <mergeCell ref="C51:F51"/>
    <mergeCell ref="G51:J51"/>
    <mergeCell ref="C53:G53"/>
    <mergeCell ref="H53:M53"/>
    <mergeCell ref="B3:M3"/>
    <mergeCell ref="B12:M12"/>
    <mergeCell ref="H15:I15"/>
    <mergeCell ref="J15:K16"/>
    <mergeCell ref="L15:M15"/>
    <mergeCell ref="C16:F16"/>
    <mergeCell ref="H16:I16"/>
    <mergeCell ref="L16:M16"/>
  </mergeCells>
  <pageMargins left="0.70000000000000007" right="0.70000000000000007" top="0.75000000000000011" bottom="0.75000000000000011" header="0.30000000000000004" footer="0.30000000000000004"/>
  <pageSetup scale="32" orientation="landscape" horizontalDpi="4294967292" verticalDpi="4294967292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8E9C81-271E-4247-B0FF-AF2168745171}">
  <sheetPr>
    <tabColor theme="0" tint="-0.499984740745262"/>
    <pageSetUpPr fitToPage="1"/>
  </sheetPr>
  <dimension ref="A1:O59"/>
  <sheetViews>
    <sheetView topLeftCell="A3" zoomScale="70" zoomScaleNormal="70" zoomScalePageLayoutView="70" workbookViewId="0">
      <selection activeCell="J19" sqref="J19:J37"/>
    </sheetView>
  </sheetViews>
  <sheetFormatPr baseColWidth="10" defaultRowHeight="15"/>
  <cols>
    <col min="1" max="1" width="4.33203125" style="51" customWidth="1"/>
    <col min="2" max="2" width="16.5" style="51" customWidth="1"/>
    <col min="3" max="3" width="55.1640625" style="51" customWidth="1"/>
    <col min="4" max="4" width="20.5" style="51" customWidth="1"/>
    <col min="5" max="5" width="21" style="253" customWidth="1"/>
    <col min="6" max="6" width="16" style="51" customWidth="1"/>
    <col min="7" max="7" width="19.5" style="51" customWidth="1"/>
    <col min="8" max="8" width="12.33203125" style="51" customWidth="1"/>
    <col min="9" max="9" width="18.83203125" style="51" customWidth="1"/>
    <col min="10" max="10" width="12.5" style="51" customWidth="1"/>
    <col min="11" max="11" width="19.83203125" style="51" customWidth="1"/>
    <col min="12" max="12" width="13.6640625" style="51" customWidth="1"/>
    <col min="13" max="13" width="23.1640625" style="51" customWidth="1"/>
    <col min="15" max="15" width="19" customWidth="1"/>
  </cols>
  <sheetData>
    <row r="1" spans="1:13">
      <c r="A1" s="1"/>
      <c r="B1" s="1"/>
      <c r="C1" s="1"/>
      <c r="D1" s="1"/>
      <c r="E1" s="236"/>
      <c r="F1" s="1"/>
      <c r="G1" s="1"/>
      <c r="H1" s="1"/>
      <c r="I1" s="1"/>
      <c r="J1" s="1"/>
      <c r="K1" s="1"/>
      <c r="L1" s="1"/>
      <c r="M1" s="1"/>
    </row>
    <row r="2" spans="1:13" ht="16" thickBot="1">
      <c r="A2" s="1"/>
      <c r="B2" s="52"/>
      <c r="C2" s="52"/>
      <c r="D2" s="52"/>
      <c r="E2" s="237"/>
      <c r="F2" s="52"/>
      <c r="G2" s="52"/>
      <c r="H2" s="52"/>
      <c r="I2" s="52"/>
      <c r="J2" s="52"/>
      <c r="K2" s="52"/>
      <c r="L2" s="52"/>
      <c r="M2" s="52"/>
    </row>
    <row r="3" spans="1:13" ht="21">
      <c r="A3" s="53"/>
      <c r="B3" s="388" t="s">
        <v>50</v>
      </c>
      <c r="C3" s="389"/>
      <c r="D3" s="389"/>
      <c r="E3" s="389"/>
      <c r="F3" s="389"/>
      <c r="G3" s="389"/>
      <c r="H3" s="389"/>
      <c r="I3" s="389"/>
      <c r="J3" s="389"/>
      <c r="K3" s="389"/>
      <c r="L3" s="389"/>
      <c r="M3" s="390"/>
    </row>
    <row r="4" spans="1:13">
      <c r="A4" s="53"/>
      <c r="B4" s="54"/>
      <c r="C4" s="55"/>
      <c r="D4" s="55"/>
      <c r="E4" s="238"/>
      <c r="F4" s="55"/>
      <c r="G4" s="56"/>
      <c r="H4" s="57"/>
      <c r="I4" s="55"/>
      <c r="J4" s="57"/>
      <c r="K4" s="55"/>
      <c r="L4" s="55"/>
      <c r="M4" s="58"/>
    </row>
    <row r="5" spans="1:13">
      <c r="A5" s="53"/>
      <c r="B5" s="59"/>
      <c r="C5" s="60"/>
      <c r="D5" s="60"/>
      <c r="E5" s="239"/>
      <c r="F5" s="60"/>
      <c r="G5" s="61"/>
      <c r="H5" s="62"/>
      <c r="I5" s="60"/>
      <c r="J5" s="62"/>
      <c r="K5" s="60"/>
      <c r="L5" s="60"/>
      <c r="M5" s="63" t="str">
        <f>+RESUMEN!D19</f>
        <v>CORREDORA LUZ MARIA CORREA</v>
      </c>
    </row>
    <row r="6" spans="1:13" ht="16">
      <c r="A6" s="53"/>
      <c r="B6" s="64" t="s">
        <v>23</v>
      </c>
      <c r="C6" s="65" t="str">
        <f>+RESUMEN!C9</f>
        <v>REMODELACION BAÑOS SHC LA CALERA</v>
      </c>
      <c r="D6" s="66"/>
      <c r="E6" s="240"/>
      <c r="F6" s="67"/>
      <c r="G6" s="68"/>
      <c r="H6" s="69"/>
      <c r="I6" s="67"/>
      <c r="J6" s="69"/>
      <c r="K6" s="67"/>
      <c r="L6" s="67"/>
      <c r="M6" s="70"/>
    </row>
    <row r="7" spans="1:13" ht="16">
      <c r="A7" s="53"/>
      <c r="B7" s="71" t="s">
        <v>24</v>
      </c>
      <c r="C7" s="72" t="str">
        <f>+RESUMEN!C10</f>
        <v>MALL OPEN PLAZA LA CALERA</v>
      </c>
      <c r="D7" s="73"/>
      <c r="E7" s="241"/>
      <c r="F7" s="74"/>
      <c r="G7" s="75"/>
      <c r="H7" s="76"/>
      <c r="I7" s="77"/>
      <c r="J7" s="78"/>
      <c r="K7" s="74"/>
      <c r="L7" s="74"/>
      <c r="M7" s="79" t="s">
        <v>25</v>
      </c>
    </row>
    <row r="8" spans="1:13" ht="16">
      <c r="A8" s="53"/>
      <c r="B8" s="71" t="s">
        <v>19</v>
      </c>
      <c r="C8" s="171" t="str">
        <f>+RESUMEN!B20</f>
        <v>DPTO 752 CONDOMINIO RAVELLO</v>
      </c>
      <c r="D8" s="73"/>
      <c r="E8" s="241"/>
      <c r="F8" s="74"/>
      <c r="G8" s="75"/>
      <c r="H8" s="76"/>
      <c r="I8" s="74"/>
      <c r="J8" s="76"/>
      <c r="K8" s="74"/>
      <c r="L8" s="74"/>
      <c r="M8" s="80" t="str">
        <f>+RESUMEN!I15</f>
        <v>EEPP#06</v>
      </c>
    </row>
    <row r="9" spans="1:13" ht="16">
      <c r="A9" s="53"/>
      <c r="B9" s="71" t="s">
        <v>26</v>
      </c>
      <c r="C9" s="72"/>
      <c r="D9" s="73"/>
      <c r="E9" s="242"/>
      <c r="F9" s="73"/>
      <c r="G9" s="75"/>
      <c r="H9" s="76"/>
      <c r="I9" s="74"/>
      <c r="J9" s="76"/>
      <c r="K9" s="74"/>
      <c r="L9" s="74"/>
      <c r="M9" s="81"/>
    </row>
    <row r="10" spans="1:13" ht="16">
      <c r="A10" s="53"/>
      <c r="B10" s="82" t="s">
        <v>27</v>
      </c>
      <c r="C10" s="83" t="str">
        <f>+RESUMEN!C20</f>
        <v>11.520.369-K</v>
      </c>
      <c r="D10" s="84"/>
      <c r="E10" s="243"/>
      <c r="F10" s="85"/>
      <c r="G10" s="86"/>
      <c r="H10" s="87"/>
      <c r="I10" s="85"/>
      <c r="J10" s="87"/>
      <c r="K10" s="85"/>
      <c r="L10" s="85"/>
      <c r="M10" s="88"/>
    </row>
    <row r="11" spans="1:13" ht="16">
      <c r="A11" s="53"/>
      <c r="B11" s="82" t="s">
        <v>52</v>
      </c>
      <c r="C11" s="201"/>
      <c r="D11" s="84"/>
      <c r="E11" s="243"/>
      <c r="F11" s="85"/>
      <c r="G11" s="86"/>
      <c r="H11" s="87"/>
      <c r="I11" s="85"/>
      <c r="J11" s="87"/>
      <c r="K11" s="85"/>
      <c r="L11" s="85"/>
      <c r="M11" s="88"/>
    </row>
    <row r="12" spans="1:13">
      <c r="A12" s="53"/>
      <c r="B12" s="391"/>
      <c r="C12" s="392"/>
      <c r="D12" s="392"/>
      <c r="E12" s="392"/>
      <c r="F12" s="392"/>
      <c r="G12" s="392"/>
      <c r="H12" s="392"/>
      <c r="I12" s="392"/>
      <c r="J12" s="392"/>
      <c r="K12" s="392"/>
      <c r="L12" s="392"/>
      <c r="M12" s="393"/>
    </row>
    <row r="13" spans="1:13" ht="16">
      <c r="A13" s="53"/>
      <c r="B13" s="89" t="s">
        <v>28</v>
      </c>
      <c r="C13" s="90"/>
      <c r="D13" s="90"/>
      <c r="E13" s="91">
        <f>G42</f>
        <v>2415585</v>
      </c>
      <c r="F13" s="92"/>
      <c r="G13" s="93"/>
      <c r="H13" s="94"/>
      <c r="I13" s="92"/>
      <c r="J13" s="94"/>
      <c r="K13" s="92"/>
      <c r="L13" s="95" t="s">
        <v>29</v>
      </c>
      <c r="M13" s="96">
        <f>+RESUMEN!I17</f>
        <v>45947</v>
      </c>
    </row>
    <row r="14" spans="1:13">
      <c r="A14" s="53"/>
      <c r="B14" s="97"/>
      <c r="C14" s="92"/>
      <c r="D14" s="92"/>
      <c r="E14" s="244"/>
      <c r="F14" s="92"/>
      <c r="G14" s="93"/>
      <c r="H14" s="94"/>
      <c r="I14" s="92"/>
      <c r="J14" s="94"/>
      <c r="K14" s="92"/>
      <c r="L14" s="92"/>
      <c r="M14" s="98"/>
    </row>
    <row r="15" spans="1:13">
      <c r="A15" s="53"/>
      <c r="B15" s="99"/>
      <c r="C15" s="100"/>
      <c r="D15" s="101"/>
      <c r="E15" s="245"/>
      <c r="F15" s="102"/>
      <c r="G15" s="103" t="s">
        <v>30</v>
      </c>
      <c r="H15" s="394" t="s">
        <v>31</v>
      </c>
      <c r="I15" s="395"/>
      <c r="J15" s="396" t="s">
        <v>32</v>
      </c>
      <c r="K15" s="397"/>
      <c r="L15" s="405" t="s">
        <v>33</v>
      </c>
      <c r="M15" s="406"/>
    </row>
    <row r="16" spans="1:13">
      <c r="A16" s="53"/>
      <c r="B16" s="104" t="s">
        <v>34</v>
      </c>
      <c r="C16" s="400" t="s">
        <v>35</v>
      </c>
      <c r="D16" s="401"/>
      <c r="E16" s="401"/>
      <c r="F16" s="402"/>
      <c r="G16" s="105" t="s">
        <v>16</v>
      </c>
      <c r="H16" s="403" t="s">
        <v>36</v>
      </c>
      <c r="I16" s="404"/>
      <c r="J16" s="398"/>
      <c r="K16" s="399"/>
      <c r="L16" s="407" t="s">
        <v>37</v>
      </c>
      <c r="M16" s="408"/>
    </row>
    <row r="17" spans="1:15">
      <c r="A17" s="53"/>
      <c r="B17" s="106"/>
      <c r="C17" s="292"/>
      <c r="D17" s="257"/>
      <c r="E17" s="258"/>
      <c r="F17" s="259"/>
      <c r="G17" s="181"/>
      <c r="H17" s="108" t="s">
        <v>38</v>
      </c>
      <c r="I17" s="108" t="s">
        <v>39</v>
      </c>
      <c r="J17" s="108" t="s">
        <v>38</v>
      </c>
      <c r="K17" s="108" t="s">
        <v>39</v>
      </c>
      <c r="L17" s="108" t="s">
        <v>38</v>
      </c>
      <c r="M17" s="109" t="s">
        <v>39</v>
      </c>
    </row>
    <row r="18" spans="1:15">
      <c r="A18" s="53"/>
      <c r="B18" s="254"/>
      <c r="C18" s="304"/>
      <c r="D18" s="305" t="s">
        <v>40</v>
      </c>
      <c r="E18" s="301" t="s">
        <v>41</v>
      </c>
      <c r="F18" s="306" t="s">
        <v>42</v>
      </c>
      <c r="G18" s="307"/>
      <c r="H18" s="179"/>
      <c r="I18" s="110"/>
      <c r="J18" s="111"/>
      <c r="K18" s="110"/>
      <c r="L18" s="111"/>
      <c r="M18" s="112"/>
    </row>
    <row r="19" spans="1:15" ht="42">
      <c r="A19" s="53"/>
      <c r="B19" s="296">
        <v>1</v>
      </c>
      <c r="C19" s="308" t="s">
        <v>109</v>
      </c>
      <c r="D19" s="309" t="s">
        <v>88</v>
      </c>
      <c r="E19" s="310">
        <v>10</v>
      </c>
      <c r="F19" s="311">
        <v>31000</v>
      </c>
      <c r="G19" s="312">
        <f t="shared" ref="G19:G25" si="0">+F19*E19</f>
        <v>310000</v>
      </c>
      <c r="H19" s="276">
        <v>1</v>
      </c>
      <c r="I19" s="277">
        <f t="shared" ref="I19:I25" si="1">H19*G19</f>
        <v>310000</v>
      </c>
      <c r="J19" s="276">
        <v>1</v>
      </c>
      <c r="K19" s="277">
        <f t="shared" ref="K19:K25" si="2">J19*G19</f>
        <v>310000</v>
      </c>
      <c r="L19" s="278">
        <f t="shared" ref="L19:L25" si="3">H19-J19</f>
        <v>0</v>
      </c>
      <c r="M19" s="279">
        <f t="shared" ref="M19:M25" si="4">L19*G19</f>
        <v>0</v>
      </c>
      <c r="O19" s="193"/>
    </row>
    <row r="20" spans="1:15" ht="42">
      <c r="A20" s="53"/>
      <c r="B20" s="296"/>
      <c r="C20" s="308" t="s">
        <v>110</v>
      </c>
      <c r="D20" s="309"/>
      <c r="E20" s="310">
        <v>3</v>
      </c>
      <c r="F20" s="311">
        <v>67000</v>
      </c>
      <c r="G20" s="312">
        <f t="shared" si="0"/>
        <v>201000</v>
      </c>
      <c r="H20" s="276">
        <v>1</v>
      </c>
      <c r="I20" s="277">
        <f t="shared" si="1"/>
        <v>201000</v>
      </c>
      <c r="J20" s="276">
        <v>1</v>
      </c>
      <c r="K20" s="277">
        <f t="shared" si="2"/>
        <v>201000</v>
      </c>
      <c r="L20" s="278">
        <f t="shared" si="3"/>
        <v>0</v>
      </c>
      <c r="M20" s="279">
        <f t="shared" si="4"/>
        <v>0</v>
      </c>
      <c r="O20" s="193"/>
    </row>
    <row r="21" spans="1:15" ht="28">
      <c r="A21" s="53"/>
      <c r="B21" s="296"/>
      <c r="C21" s="308" t="s">
        <v>111</v>
      </c>
      <c r="D21" s="309"/>
      <c r="E21" s="310">
        <v>3</v>
      </c>
      <c r="F21" s="311">
        <v>67000</v>
      </c>
      <c r="G21" s="312">
        <f t="shared" si="0"/>
        <v>201000</v>
      </c>
      <c r="H21" s="276">
        <v>1</v>
      </c>
      <c r="I21" s="277">
        <f t="shared" si="1"/>
        <v>201000</v>
      </c>
      <c r="J21" s="276">
        <v>1</v>
      </c>
      <c r="K21" s="277">
        <f t="shared" si="2"/>
        <v>201000</v>
      </c>
      <c r="L21" s="278">
        <f t="shared" si="3"/>
        <v>0</v>
      </c>
      <c r="M21" s="279">
        <f t="shared" si="4"/>
        <v>0</v>
      </c>
      <c r="O21" s="193"/>
    </row>
    <row r="22" spans="1:15" ht="28">
      <c r="A22" s="53"/>
      <c r="B22" s="296"/>
      <c r="C22" s="308" t="s">
        <v>112</v>
      </c>
      <c r="D22" s="309"/>
      <c r="E22" s="310">
        <v>9</v>
      </c>
      <c r="F22" s="311">
        <v>42300</v>
      </c>
      <c r="G22" s="312">
        <f t="shared" si="0"/>
        <v>380700</v>
      </c>
      <c r="H22" s="276">
        <v>1</v>
      </c>
      <c r="I22" s="277">
        <f t="shared" si="1"/>
        <v>380700</v>
      </c>
      <c r="J22" s="276">
        <v>1</v>
      </c>
      <c r="K22" s="277">
        <f t="shared" si="2"/>
        <v>380700</v>
      </c>
      <c r="L22" s="278">
        <f t="shared" si="3"/>
        <v>0</v>
      </c>
      <c r="M22" s="279">
        <f t="shared" si="4"/>
        <v>0</v>
      </c>
      <c r="O22" s="193"/>
    </row>
    <row r="23" spans="1:15">
      <c r="A23" s="53"/>
      <c r="B23" s="296"/>
      <c r="C23" s="308" t="s">
        <v>113</v>
      </c>
      <c r="D23" s="309"/>
      <c r="E23" s="310">
        <v>9</v>
      </c>
      <c r="F23" s="311">
        <v>42300</v>
      </c>
      <c r="G23" s="312">
        <f t="shared" si="0"/>
        <v>380700</v>
      </c>
      <c r="H23" s="276">
        <v>1</v>
      </c>
      <c r="I23" s="277">
        <f t="shared" si="1"/>
        <v>380700</v>
      </c>
      <c r="J23" s="276">
        <v>1</v>
      </c>
      <c r="K23" s="277">
        <f t="shared" si="2"/>
        <v>380700</v>
      </c>
      <c r="L23" s="278">
        <f t="shared" si="3"/>
        <v>0</v>
      </c>
      <c r="M23" s="279">
        <f t="shared" si="4"/>
        <v>0</v>
      </c>
      <c r="O23" s="193"/>
    </row>
    <row r="24" spans="1:15" ht="28.5" customHeight="1">
      <c r="A24" s="53"/>
      <c r="B24" s="297"/>
      <c r="C24" s="308" t="s">
        <v>114</v>
      </c>
      <c r="D24" s="309"/>
      <c r="E24" s="310">
        <v>10</v>
      </c>
      <c r="F24" s="311">
        <v>50000</v>
      </c>
      <c r="G24" s="312">
        <f t="shared" si="0"/>
        <v>500000</v>
      </c>
      <c r="H24" s="276">
        <v>1</v>
      </c>
      <c r="I24" s="277">
        <f t="shared" si="1"/>
        <v>500000</v>
      </c>
      <c r="J24" s="276">
        <v>1</v>
      </c>
      <c r="K24" s="277">
        <f t="shared" si="2"/>
        <v>500000</v>
      </c>
      <c r="L24" s="278">
        <f t="shared" si="3"/>
        <v>0</v>
      </c>
      <c r="M24" s="279">
        <f t="shared" si="4"/>
        <v>0</v>
      </c>
      <c r="O24" s="193"/>
    </row>
    <row r="25" spans="1:15">
      <c r="A25" s="53"/>
      <c r="B25" s="297"/>
      <c r="C25" s="313" t="s">
        <v>115</v>
      </c>
      <c r="D25" s="309"/>
      <c r="E25" s="310">
        <v>10</v>
      </c>
      <c r="F25" s="314">
        <v>29000</v>
      </c>
      <c r="G25" s="312">
        <f t="shared" si="0"/>
        <v>290000</v>
      </c>
      <c r="H25" s="276">
        <v>1</v>
      </c>
      <c r="I25" s="277">
        <f t="shared" si="1"/>
        <v>290000</v>
      </c>
      <c r="J25" s="276">
        <v>1</v>
      </c>
      <c r="K25" s="277">
        <f t="shared" si="2"/>
        <v>290000</v>
      </c>
      <c r="L25" s="278">
        <f t="shared" si="3"/>
        <v>0</v>
      </c>
      <c r="M25" s="279">
        <f t="shared" si="4"/>
        <v>0</v>
      </c>
      <c r="O25" s="193"/>
    </row>
    <row r="26" spans="1:15">
      <c r="A26" s="53"/>
      <c r="B26" s="297"/>
      <c r="C26" s="308" t="s">
        <v>116</v>
      </c>
      <c r="D26" s="309" t="s">
        <v>88</v>
      </c>
      <c r="E26" s="310">
        <v>1</v>
      </c>
      <c r="F26" s="314">
        <v>311000</v>
      </c>
      <c r="G26" s="312">
        <f t="shared" ref="G26" si="5">+F26*E26</f>
        <v>311000</v>
      </c>
      <c r="H26" s="276">
        <v>1</v>
      </c>
      <c r="I26" s="277">
        <f t="shared" ref="I26" si="6">H26*G26</f>
        <v>311000</v>
      </c>
      <c r="J26" s="276">
        <v>1</v>
      </c>
      <c r="K26" s="277">
        <f t="shared" ref="K26" si="7">J26*G26</f>
        <v>311000</v>
      </c>
      <c r="L26" s="278">
        <f t="shared" ref="L26" si="8">H26-J26</f>
        <v>0</v>
      </c>
      <c r="M26" s="279">
        <f t="shared" ref="M26" si="9">L26*G26</f>
        <v>0</v>
      </c>
      <c r="O26" s="193"/>
    </row>
    <row r="27" spans="1:15">
      <c r="A27" s="53"/>
      <c r="B27" s="297"/>
      <c r="C27" s="308" t="s">
        <v>117</v>
      </c>
      <c r="D27" s="309"/>
      <c r="E27" s="310">
        <v>10</v>
      </c>
      <c r="F27" s="314">
        <v>31000</v>
      </c>
      <c r="G27" s="312">
        <f t="shared" ref="G27" si="10">+F27*E27</f>
        <v>310000</v>
      </c>
      <c r="H27" s="276">
        <v>1</v>
      </c>
      <c r="I27" s="277">
        <f t="shared" ref="I27" si="11">H27*G27</f>
        <v>310000</v>
      </c>
      <c r="J27" s="276">
        <v>1</v>
      </c>
      <c r="K27" s="277">
        <f t="shared" ref="K27" si="12">J27*G27</f>
        <v>310000</v>
      </c>
      <c r="L27" s="278">
        <f t="shared" ref="L27" si="13">H27-J27</f>
        <v>0</v>
      </c>
      <c r="M27" s="279">
        <f t="shared" ref="M27" si="14">L27*G27</f>
        <v>0</v>
      </c>
      <c r="O27" s="193"/>
    </row>
    <row r="28" spans="1:15">
      <c r="A28" s="53"/>
      <c r="B28" s="297"/>
      <c r="C28" s="315"/>
      <c r="D28" s="309"/>
      <c r="E28" s="299"/>
      <c r="F28" s="316"/>
      <c r="G28" s="312"/>
      <c r="H28" s="276"/>
      <c r="I28" s="277"/>
      <c r="J28" s="276"/>
      <c r="K28" s="277"/>
      <c r="L28" s="278"/>
      <c r="M28" s="279"/>
      <c r="O28" s="193"/>
    </row>
    <row r="29" spans="1:15">
      <c r="A29" s="53"/>
      <c r="B29" s="297"/>
      <c r="C29" s="318"/>
      <c r="D29" s="321"/>
      <c r="E29" s="300"/>
      <c r="F29" s="319"/>
      <c r="G29" s="322"/>
      <c r="H29" s="276"/>
      <c r="I29" s="277"/>
      <c r="J29" s="276"/>
      <c r="K29" s="277"/>
      <c r="L29" s="278"/>
      <c r="M29" s="279"/>
      <c r="O29" s="193"/>
    </row>
    <row r="30" spans="1:15">
      <c r="A30" s="53"/>
      <c r="B30" s="297"/>
      <c r="C30" s="318" t="s">
        <v>164</v>
      </c>
      <c r="D30" s="321" t="s">
        <v>55</v>
      </c>
      <c r="E30" s="300">
        <v>-1</v>
      </c>
      <c r="F30" s="319">
        <v>200000</v>
      </c>
      <c r="G30" s="322">
        <f t="shared" ref="G30" si="15">+F30*E30</f>
        <v>-200000</v>
      </c>
      <c r="H30" s="342">
        <v>1</v>
      </c>
      <c r="I30" s="343">
        <f t="shared" ref="I30" si="16">H30*G30</f>
        <v>-200000</v>
      </c>
      <c r="J30" s="342">
        <v>1</v>
      </c>
      <c r="K30" s="343">
        <f t="shared" ref="K30" si="17">J30*G30</f>
        <v>-200000</v>
      </c>
      <c r="L30" s="344">
        <f t="shared" ref="L30" si="18">H30-J30</f>
        <v>0</v>
      </c>
      <c r="M30" s="345">
        <f t="shared" ref="M30" si="19">L30*G30</f>
        <v>0</v>
      </c>
      <c r="O30" s="193"/>
    </row>
    <row r="31" spans="1:15">
      <c r="A31" s="53"/>
      <c r="B31" s="297"/>
      <c r="C31" s="318"/>
      <c r="D31" s="321"/>
      <c r="E31" s="300"/>
      <c r="F31" s="319"/>
      <c r="G31" s="322"/>
      <c r="H31" s="342"/>
      <c r="I31" s="343"/>
      <c r="J31" s="342"/>
      <c r="K31" s="343"/>
      <c r="L31" s="344"/>
      <c r="M31" s="345"/>
      <c r="O31" s="193"/>
    </row>
    <row r="32" spans="1:15">
      <c r="A32" s="53"/>
      <c r="B32" s="297"/>
      <c r="C32" s="315"/>
      <c r="D32" s="309"/>
      <c r="E32" s="299"/>
      <c r="F32" s="316"/>
      <c r="G32" s="312"/>
      <c r="H32" s="276"/>
      <c r="I32" s="277"/>
      <c r="J32" s="276"/>
      <c r="K32" s="277"/>
      <c r="L32" s="278"/>
      <c r="M32" s="279"/>
      <c r="O32" s="193"/>
    </row>
    <row r="33" spans="1:15">
      <c r="A33" s="53"/>
      <c r="B33" s="297"/>
      <c r="C33" s="318" t="s">
        <v>145</v>
      </c>
      <c r="D33" s="321" t="s">
        <v>146</v>
      </c>
      <c r="E33" s="300">
        <v>-1</v>
      </c>
      <c r="F33" s="319">
        <v>93333</v>
      </c>
      <c r="G33" s="322">
        <f t="shared" ref="G33" si="20">+F33*E33</f>
        <v>-93333</v>
      </c>
      <c r="H33" s="342">
        <v>1</v>
      </c>
      <c r="I33" s="343">
        <f t="shared" ref="I33" si="21">H33*G33</f>
        <v>-93333</v>
      </c>
      <c r="J33" s="342">
        <v>1</v>
      </c>
      <c r="K33" s="343">
        <f t="shared" ref="K33" si="22">J33*G33</f>
        <v>-93333</v>
      </c>
      <c r="L33" s="344">
        <f t="shared" ref="L33" si="23">H33-J33</f>
        <v>0</v>
      </c>
      <c r="M33" s="345">
        <f t="shared" ref="M33" si="24">L33*G33</f>
        <v>0</v>
      </c>
      <c r="O33" s="193"/>
    </row>
    <row r="34" spans="1:15">
      <c r="A34" s="53"/>
      <c r="B34" s="297"/>
      <c r="C34" s="318" t="s">
        <v>147</v>
      </c>
      <c r="D34" s="321" t="s">
        <v>146</v>
      </c>
      <c r="E34" s="300">
        <v>-1</v>
      </c>
      <c r="F34" s="319">
        <v>19766</v>
      </c>
      <c r="G34" s="322">
        <f t="shared" ref="G34" si="25">+F34*E34</f>
        <v>-19766</v>
      </c>
      <c r="H34" s="342">
        <v>1</v>
      </c>
      <c r="I34" s="343">
        <f t="shared" ref="I34" si="26">H34*G34</f>
        <v>-19766</v>
      </c>
      <c r="J34" s="342">
        <v>1</v>
      </c>
      <c r="K34" s="343">
        <f t="shared" ref="K34" si="27">J34*G34</f>
        <v>-19766</v>
      </c>
      <c r="L34" s="344">
        <f t="shared" ref="L34" si="28">H34-J34</f>
        <v>0</v>
      </c>
      <c r="M34" s="345">
        <f t="shared" ref="M34" si="29">L34*G34</f>
        <v>0</v>
      </c>
      <c r="O34" s="193"/>
    </row>
    <row r="35" spans="1:15">
      <c r="A35" s="53"/>
      <c r="B35" s="297"/>
      <c r="C35" s="318" t="s">
        <v>153</v>
      </c>
      <c r="D35" s="321" t="s">
        <v>146</v>
      </c>
      <c r="E35" s="300">
        <v>-1</v>
      </c>
      <c r="F35" s="319">
        <v>10716</v>
      </c>
      <c r="G35" s="322">
        <f t="shared" ref="G35" si="30">+F35*E35</f>
        <v>-10716</v>
      </c>
      <c r="H35" s="342">
        <v>1</v>
      </c>
      <c r="I35" s="343">
        <f t="shared" ref="I35" si="31">H35*G35</f>
        <v>-10716</v>
      </c>
      <c r="J35" s="342">
        <v>1</v>
      </c>
      <c r="K35" s="343">
        <f t="shared" ref="K35" si="32">J35*G35</f>
        <v>-10716</v>
      </c>
      <c r="L35" s="344">
        <f t="shared" ref="L35" si="33">H35-J35</f>
        <v>0</v>
      </c>
      <c r="M35" s="345">
        <f t="shared" ref="M35" si="34">L35*G35</f>
        <v>0</v>
      </c>
      <c r="O35" s="193"/>
    </row>
    <row r="36" spans="1:15">
      <c r="A36" s="53"/>
      <c r="B36" s="297"/>
      <c r="C36" s="315"/>
      <c r="D36" s="309"/>
      <c r="E36" s="299"/>
      <c r="F36" s="316"/>
      <c r="G36" s="312"/>
      <c r="H36" s="276"/>
      <c r="I36" s="277"/>
      <c r="J36" s="276"/>
      <c r="K36" s="277"/>
      <c r="L36" s="278"/>
      <c r="M36" s="279"/>
      <c r="O36" s="193"/>
    </row>
    <row r="37" spans="1:15">
      <c r="A37" s="53"/>
      <c r="B37" s="297"/>
      <c r="C37" s="318" t="s">
        <v>154</v>
      </c>
      <c r="D37" s="321" t="s">
        <v>146</v>
      </c>
      <c r="E37" s="300">
        <v>-1</v>
      </c>
      <c r="F37" s="319">
        <v>145000</v>
      </c>
      <c r="G37" s="322">
        <f t="shared" ref="G37" si="35">+F37*E37</f>
        <v>-145000</v>
      </c>
      <c r="H37" s="342">
        <v>1</v>
      </c>
      <c r="I37" s="343">
        <f t="shared" ref="I37" si="36">H37*G37</f>
        <v>-145000</v>
      </c>
      <c r="J37" s="342">
        <v>1</v>
      </c>
      <c r="K37" s="343">
        <f t="shared" ref="K37" si="37">J37*G37</f>
        <v>-145000</v>
      </c>
      <c r="L37" s="344">
        <f t="shared" ref="L37" si="38">H37-J37</f>
        <v>0</v>
      </c>
      <c r="M37" s="345">
        <f t="shared" ref="M37" si="39">L37*G37</f>
        <v>0</v>
      </c>
      <c r="O37" s="193"/>
    </row>
    <row r="38" spans="1:15">
      <c r="A38" s="53"/>
      <c r="B38" s="297"/>
      <c r="C38" s="318"/>
      <c r="D38" s="321"/>
      <c r="E38" s="300"/>
      <c r="F38" s="319"/>
      <c r="G38" s="322"/>
      <c r="H38" s="342"/>
      <c r="I38" s="343"/>
      <c r="J38" s="342"/>
      <c r="K38" s="343"/>
      <c r="L38" s="344"/>
      <c r="M38" s="345"/>
      <c r="O38" s="193"/>
    </row>
    <row r="39" spans="1:15">
      <c r="A39" s="53"/>
      <c r="B39" s="297"/>
      <c r="C39" s="318"/>
      <c r="D39" s="309"/>
      <c r="E39" s="300"/>
      <c r="F39" s="319"/>
      <c r="G39" s="320"/>
      <c r="H39" s="276"/>
      <c r="I39" s="277"/>
      <c r="J39" s="276"/>
      <c r="K39" s="277"/>
      <c r="L39" s="278"/>
      <c r="M39" s="279"/>
      <c r="O39" s="193"/>
    </row>
    <row r="40" spans="1:15">
      <c r="A40" s="53"/>
      <c r="B40" s="297"/>
      <c r="C40" s="254"/>
      <c r="D40" s="265"/>
      <c r="E40" s="299"/>
      <c r="F40" s="182"/>
      <c r="G40" s="255"/>
      <c r="H40" s="180"/>
      <c r="I40" s="114"/>
      <c r="J40" s="180"/>
      <c r="K40" s="114"/>
      <c r="L40" s="113"/>
      <c r="M40" s="115"/>
      <c r="O40" s="193"/>
    </row>
    <row r="41" spans="1:15">
      <c r="A41" s="53"/>
      <c r="B41" s="254"/>
      <c r="C41" s="294"/>
      <c r="D41" s="268"/>
      <c r="E41" s="303"/>
      <c r="F41" s="262"/>
      <c r="G41" s="295"/>
      <c r="H41" s="180"/>
      <c r="I41" s="114"/>
      <c r="J41" s="180"/>
      <c r="K41" s="114"/>
      <c r="L41" s="113"/>
      <c r="M41" s="115"/>
      <c r="O41" s="193"/>
    </row>
    <row r="42" spans="1:15">
      <c r="A42" s="53"/>
      <c r="B42" s="117"/>
      <c r="C42" s="293" t="s">
        <v>43</v>
      </c>
      <c r="D42" s="77"/>
      <c r="E42" s="258"/>
      <c r="F42" s="260"/>
      <c r="G42" s="114">
        <f>SUM(G18:G41)</f>
        <v>2415585</v>
      </c>
      <c r="H42" s="121"/>
      <c r="I42" s="120">
        <f>SUM(I18:I41)</f>
        <v>2415585</v>
      </c>
      <c r="J42" s="122"/>
      <c r="K42" s="120">
        <f>SUM(K18:K41)</f>
        <v>2415585</v>
      </c>
      <c r="L42" s="123"/>
      <c r="M42" s="124">
        <f>SUM(M18:M41)</f>
        <v>0</v>
      </c>
    </row>
    <row r="43" spans="1:15">
      <c r="A43" s="53"/>
      <c r="B43" s="202"/>
      <c r="C43" s="203" t="s">
        <v>44</v>
      </c>
      <c r="D43" s="204"/>
      <c r="E43" s="247"/>
      <c r="F43" s="205"/>
      <c r="G43" s="206"/>
      <c r="H43" s="207"/>
      <c r="I43" s="208">
        <f>I42*F43</f>
        <v>0</v>
      </c>
      <c r="J43" s="209"/>
      <c r="K43" s="208">
        <f>K42*F43</f>
        <v>0</v>
      </c>
      <c r="L43" s="210"/>
      <c r="M43" s="211">
        <f>M42*F43</f>
        <v>0</v>
      </c>
      <c r="O43" s="193"/>
    </row>
    <row r="44" spans="1:15">
      <c r="A44" s="53"/>
      <c r="B44" s="223"/>
      <c r="C44" s="224" t="s">
        <v>58</v>
      </c>
      <c r="D44" s="225"/>
      <c r="E44" s="248"/>
      <c r="F44" s="226"/>
      <c r="G44" s="227">
        <v>0</v>
      </c>
      <c r="H44" s="228">
        <v>0</v>
      </c>
      <c r="I44" s="114">
        <f>H44*G44</f>
        <v>0</v>
      </c>
      <c r="J44" s="113">
        <v>0</v>
      </c>
      <c r="K44" s="114">
        <f>G44*J44</f>
        <v>0</v>
      </c>
      <c r="L44" s="113">
        <f>H44-J44</f>
        <v>0</v>
      </c>
      <c r="M44" s="115">
        <f>L44*G44</f>
        <v>0</v>
      </c>
    </row>
    <row r="45" spans="1:15">
      <c r="A45" s="126"/>
      <c r="B45" s="127"/>
      <c r="C45" s="128" t="s">
        <v>45</v>
      </c>
      <c r="D45" s="129"/>
      <c r="E45" s="249"/>
      <c r="F45" s="130"/>
      <c r="G45" s="131">
        <f>G42-G43+G44</f>
        <v>2415585</v>
      </c>
      <c r="H45" s="4" t="s">
        <v>46</v>
      </c>
      <c r="I45" s="134">
        <f>+I42-I43</f>
        <v>2415585</v>
      </c>
      <c r="J45" s="132"/>
      <c r="K45" s="134">
        <f>+K42-K43</f>
        <v>2415585</v>
      </c>
      <c r="L45" s="133"/>
      <c r="M45" s="134">
        <f>+M42-M43</f>
        <v>0</v>
      </c>
    </row>
    <row r="46" spans="1:15">
      <c r="A46" s="53"/>
      <c r="B46" s="117"/>
      <c r="C46" s="118" t="s">
        <v>47</v>
      </c>
      <c r="D46" s="55"/>
      <c r="E46" s="245"/>
      <c r="F46" s="119"/>
      <c r="G46" s="120">
        <f>G45*19%</f>
        <v>458961.15</v>
      </c>
      <c r="H46" s="121"/>
      <c r="I46" s="120">
        <f>I45*19%</f>
        <v>458961.15</v>
      </c>
      <c r="J46" s="122"/>
      <c r="K46" s="120">
        <f>K45*19%</f>
        <v>458961.15</v>
      </c>
      <c r="L46" s="123"/>
      <c r="M46" s="120">
        <f>+M45*0.19</f>
        <v>0</v>
      </c>
      <c r="O46" s="193"/>
    </row>
    <row r="47" spans="1:15">
      <c r="A47" s="53"/>
      <c r="B47" s="125"/>
      <c r="C47" s="135" t="s">
        <v>48</v>
      </c>
      <c r="D47" s="60"/>
      <c r="E47" s="246"/>
      <c r="F47" s="116"/>
      <c r="G47" s="136">
        <f>SUM(G45:G46)</f>
        <v>2874546.15</v>
      </c>
      <c r="H47" s="137"/>
      <c r="I47" s="136">
        <f>SUM(I45:I46)</f>
        <v>2874546.15</v>
      </c>
      <c r="J47" s="138"/>
      <c r="K47" s="136">
        <f>SUM(K45:K46)</f>
        <v>2874546.15</v>
      </c>
      <c r="L47" s="139"/>
      <c r="M47" s="136">
        <f>SUM(M45:M46)</f>
        <v>0</v>
      </c>
    </row>
    <row r="48" spans="1:15">
      <c r="A48" s="53"/>
      <c r="B48" s="117"/>
      <c r="C48" s="67"/>
      <c r="D48" s="67"/>
      <c r="E48" s="250"/>
      <c r="F48" s="140"/>
      <c r="G48" s="68"/>
      <c r="H48" s="141"/>
      <c r="I48" s="142"/>
      <c r="J48" s="143"/>
      <c r="K48" s="142"/>
      <c r="L48" s="144"/>
      <c r="M48" s="145"/>
      <c r="O48" s="193"/>
    </row>
    <row r="49" spans="1:13">
      <c r="A49" s="53"/>
      <c r="B49" s="146"/>
      <c r="C49" s="147"/>
      <c r="D49" s="147"/>
      <c r="E49" s="230"/>
      <c r="F49" s="148"/>
      <c r="G49" s="149"/>
      <c r="H49" s="150"/>
      <c r="I49" s="151"/>
      <c r="J49" s="152"/>
      <c r="K49" s="151"/>
      <c r="L49" s="153"/>
      <c r="M49" s="154"/>
    </row>
    <row r="50" spans="1:13">
      <c r="A50" s="53"/>
      <c r="B50" s="146"/>
      <c r="C50" s="147"/>
      <c r="D50" s="147"/>
      <c r="E50" s="230"/>
      <c r="F50" s="148"/>
      <c r="G50" s="149"/>
      <c r="H50" s="150"/>
      <c r="I50" s="151"/>
      <c r="J50" s="152"/>
      <c r="K50" s="151"/>
      <c r="L50" s="153"/>
      <c r="M50" s="154"/>
    </row>
    <row r="51" spans="1:13">
      <c r="A51" s="53"/>
      <c r="B51" s="155"/>
      <c r="C51" s="147"/>
      <c r="D51" s="147"/>
      <c r="E51" s="230"/>
      <c r="F51" s="147"/>
      <c r="G51" s="147"/>
      <c r="H51" s="156"/>
      <c r="I51" s="157"/>
      <c r="J51" s="158"/>
      <c r="K51" s="159"/>
      <c r="L51" s="158"/>
      <c r="M51" s="160"/>
    </row>
    <row r="52" spans="1:13">
      <c r="A52" s="53"/>
      <c r="B52" s="161"/>
      <c r="C52" s="77"/>
      <c r="D52" s="77"/>
      <c r="E52" s="251"/>
      <c r="F52" s="77"/>
      <c r="G52" s="162"/>
      <c r="H52" s="78"/>
      <c r="I52" s="77"/>
      <c r="J52" s="78"/>
      <c r="K52" s="77"/>
      <c r="L52" s="77"/>
      <c r="M52" s="163"/>
    </row>
    <row r="53" spans="1:13">
      <c r="A53" s="53"/>
      <c r="B53" s="155"/>
      <c r="C53" s="376"/>
      <c r="D53" s="377"/>
      <c r="E53" s="377"/>
      <c r="F53" s="378"/>
      <c r="G53" s="379"/>
      <c r="H53" s="380"/>
      <c r="I53" s="380"/>
      <c r="J53" s="381"/>
      <c r="K53" s="77"/>
      <c r="L53" s="77"/>
      <c r="M53" s="163"/>
    </row>
    <row r="54" spans="1:13">
      <c r="A54" s="53"/>
      <c r="B54" s="59"/>
      <c r="C54" s="60"/>
      <c r="D54" s="60"/>
      <c r="E54" s="239"/>
      <c r="F54" s="60"/>
      <c r="G54" s="61"/>
      <c r="H54" s="62"/>
      <c r="I54" s="60"/>
      <c r="J54" s="62"/>
      <c r="K54" s="60"/>
      <c r="L54" s="60"/>
      <c r="M54" s="164"/>
    </row>
    <row r="55" spans="1:13">
      <c r="A55" s="53"/>
      <c r="B55" s="165"/>
      <c r="C55" s="382"/>
      <c r="D55" s="383"/>
      <c r="E55" s="383"/>
      <c r="F55" s="383"/>
      <c r="G55" s="384"/>
      <c r="H55" s="385" t="s">
        <v>49</v>
      </c>
      <c r="I55" s="386"/>
      <c r="J55" s="386"/>
      <c r="K55" s="386"/>
      <c r="L55" s="386"/>
      <c r="M55" s="387"/>
    </row>
    <row r="56" spans="1:13">
      <c r="A56" s="53"/>
      <c r="B56" s="161"/>
      <c r="C56" s="77"/>
      <c r="D56" s="77"/>
      <c r="E56" s="251"/>
      <c r="F56" s="77"/>
      <c r="G56" s="162"/>
      <c r="H56" s="78"/>
      <c r="I56" s="77"/>
      <c r="J56" s="78"/>
      <c r="K56" s="77"/>
      <c r="L56" s="77"/>
      <c r="M56" s="163"/>
    </row>
    <row r="57" spans="1:13" ht="16" thickBot="1">
      <c r="A57" s="53"/>
      <c r="B57" s="166"/>
      <c r="C57" s="167"/>
      <c r="D57" s="167"/>
      <c r="E57" s="252"/>
      <c r="F57" s="167"/>
      <c r="G57" s="168"/>
      <c r="H57" s="169"/>
      <c r="I57" s="167"/>
      <c r="J57" s="169"/>
      <c r="K57" s="167"/>
      <c r="L57" s="167"/>
      <c r="M57" s="170"/>
    </row>
    <row r="59" spans="1:13">
      <c r="G59" s="229"/>
    </row>
  </sheetData>
  <mergeCells count="12">
    <mergeCell ref="C53:F53"/>
    <mergeCell ref="G53:J53"/>
    <mergeCell ref="C55:G55"/>
    <mergeCell ref="H55:M55"/>
    <mergeCell ref="B3:M3"/>
    <mergeCell ref="B12:M12"/>
    <mergeCell ref="H15:I15"/>
    <mergeCell ref="J15:K16"/>
    <mergeCell ref="L15:M15"/>
    <mergeCell ref="C16:F16"/>
    <mergeCell ref="H16:I16"/>
    <mergeCell ref="L16:M16"/>
  </mergeCells>
  <pageMargins left="0.70000000000000007" right="0.70000000000000007" top="0.75000000000000011" bottom="0.75000000000000011" header="0.30000000000000004" footer="0.30000000000000004"/>
  <pageSetup scale="32" orientation="landscape" horizontalDpi="4294967292" verticalDpi="4294967292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891EAC-D14E-4D89-B35D-166FE6FC14F7}">
  <sheetPr>
    <tabColor theme="0" tint="-0.499984740745262"/>
    <pageSetUpPr fitToPage="1"/>
  </sheetPr>
  <dimension ref="A1:O62"/>
  <sheetViews>
    <sheetView topLeftCell="A15" zoomScale="85" zoomScaleNormal="85" zoomScalePageLayoutView="70" workbookViewId="0">
      <selection activeCell="J19" sqref="J19:J41"/>
    </sheetView>
  </sheetViews>
  <sheetFormatPr baseColWidth="10" defaultRowHeight="15"/>
  <cols>
    <col min="1" max="1" width="4.33203125" style="51" customWidth="1"/>
    <col min="2" max="2" width="16.5" style="51" customWidth="1"/>
    <col min="3" max="3" width="57.1640625" style="51" customWidth="1"/>
    <col min="4" max="4" width="20.5" style="51" customWidth="1"/>
    <col min="5" max="5" width="21" style="253" customWidth="1"/>
    <col min="6" max="6" width="16" style="51" customWidth="1"/>
    <col min="7" max="7" width="19.5" style="51" customWidth="1"/>
    <col min="8" max="8" width="12.33203125" style="51" customWidth="1"/>
    <col min="9" max="9" width="18.83203125" style="51" customWidth="1"/>
    <col min="10" max="10" width="12.5" style="51" customWidth="1"/>
    <col min="11" max="11" width="19.83203125" style="51" customWidth="1"/>
    <col min="12" max="12" width="13.6640625" style="51" customWidth="1"/>
    <col min="13" max="13" width="23.1640625" style="51" customWidth="1"/>
    <col min="15" max="15" width="19" customWidth="1"/>
  </cols>
  <sheetData>
    <row r="1" spans="1:13">
      <c r="A1" s="1"/>
      <c r="B1" s="1"/>
      <c r="C1" s="1"/>
      <c r="D1" s="1"/>
      <c r="E1" s="236"/>
      <c r="F1" s="1"/>
      <c r="G1" s="1"/>
      <c r="H1" s="1"/>
      <c r="I1" s="1"/>
      <c r="J1" s="1"/>
      <c r="K1" s="1"/>
      <c r="L1" s="1"/>
      <c r="M1" s="1"/>
    </row>
    <row r="2" spans="1:13" ht="16" thickBot="1">
      <c r="A2" s="1"/>
      <c r="B2" s="52"/>
      <c r="C2" s="52"/>
      <c r="D2" s="52"/>
      <c r="E2" s="237"/>
      <c r="F2" s="52"/>
      <c r="G2" s="52"/>
      <c r="H2" s="52"/>
      <c r="I2" s="52"/>
      <c r="J2" s="52"/>
      <c r="K2" s="52"/>
      <c r="L2" s="52"/>
      <c r="M2" s="52"/>
    </row>
    <row r="3" spans="1:13" ht="21">
      <c r="A3" s="53"/>
      <c r="B3" s="388" t="s">
        <v>50</v>
      </c>
      <c r="C3" s="389"/>
      <c r="D3" s="389"/>
      <c r="E3" s="389"/>
      <c r="F3" s="389"/>
      <c r="G3" s="389"/>
      <c r="H3" s="389"/>
      <c r="I3" s="389"/>
      <c r="J3" s="389"/>
      <c r="K3" s="389"/>
      <c r="L3" s="389"/>
      <c r="M3" s="390"/>
    </row>
    <row r="4" spans="1:13">
      <c r="A4" s="53"/>
      <c r="B4" s="54"/>
      <c r="C4" s="55"/>
      <c r="D4" s="55"/>
      <c r="E4" s="238"/>
      <c r="F4" s="55"/>
      <c r="G4" s="56"/>
      <c r="H4" s="57"/>
      <c r="I4" s="55"/>
      <c r="J4" s="57"/>
      <c r="K4" s="55"/>
      <c r="L4" s="55"/>
      <c r="M4" s="58"/>
    </row>
    <row r="5" spans="1:13">
      <c r="A5" s="53"/>
      <c r="B5" s="59"/>
      <c r="C5" s="60"/>
      <c r="D5" s="60"/>
      <c r="E5" s="239"/>
      <c r="F5" s="60"/>
      <c r="G5" s="61"/>
      <c r="H5" s="62"/>
      <c r="I5" s="60"/>
      <c r="J5" s="62"/>
      <c r="K5" s="60"/>
      <c r="L5" s="60"/>
      <c r="M5" s="63" t="str">
        <f>+RESUMEN!D19</f>
        <v>CORREDORA LUZ MARIA CORREA</v>
      </c>
    </row>
    <row r="6" spans="1:13" ht="16">
      <c r="A6" s="53"/>
      <c r="B6" s="64" t="s">
        <v>23</v>
      </c>
      <c r="C6" s="65" t="str">
        <f>+RESUMEN!C9</f>
        <v>REMODELACION BAÑOS SHC LA CALERA</v>
      </c>
      <c r="D6" s="66"/>
      <c r="E6" s="240"/>
      <c r="F6" s="67"/>
      <c r="G6" s="68"/>
      <c r="H6" s="69"/>
      <c r="I6" s="67"/>
      <c r="J6" s="69"/>
      <c r="K6" s="67"/>
      <c r="L6" s="67"/>
      <c r="M6" s="70"/>
    </row>
    <row r="7" spans="1:13" ht="16">
      <c r="A7" s="53"/>
      <c r="B7" s="71" t="s">
        <v>24</v>
      </c>
      <c r="C7" s="72" t="str">
        <f>+RESUMEN!C10</f>
        <v>MALL OPEN PLAZA LA CALERA</v>
      </c>
      <c r="D7" s="73"/>
      <c r="E7" s="241"/>
      <c r="F7" s="74"/>
      <c r="G7" s="75"/>
      <c r="H7" s="76"/>
      <c r="I7" s="77"/>
      <c r="J7" s="78"/>
      <c r="K7" s="74"/>
      <c r="L7" s="74"/>
      <c r="M7" s="79" t="s">
        <v>25</v>
      </c>
    </row>
    <row r="8" spans="1:13" ht="16">
      <c r="A8" s="53"/>
      <c r="B8" s="71" t="s">
        <v>19</v>
      </c>
      <c r="C8" s="171" t="str">
        <f>+RESUMEN!B20</f>
        <v>DPTO 752 CONDOMINIO RAVELLO</v>
      </c>
      <c r="D8" s="73"/>
      <c r="E8" s="241"/>
      <c r="F8" s="74"/>
      <c r="G8" s="75"/>
      <c r="H8" s="76"/>
      <c r="I8" s="74"/>
      <c r="J8" s="76"/>
      <c r="K8" s="74"/>
      <c r="L8" s="74"/>
      <c r="M8" s="80" t="str">
        <f>+RESUMEN!I15</f>
        <v>EEPP#06</v>
      </c>
    </row>
    <row r="9" spans="1:13" ht="16">
      <c r="A9" s="53"/>
      <c r="B9" s="71" t="s">
        <v>26</v>
      </c>
      <c r="C9" s="72"/>
      <c r="D9" s="73"/>
      <c r="E9" s="242"/>
      <c r="F9" s="73"/>
      <c r="G9" s="75"/>
      <c r="H9" s="76"/>
      <c r="I9" s="74"/>
      <c r="J9" s="76"/>
      <c r="K9" s="74"/>
      <c r="L9" s="74"/>
      <c r="M9" s="81"/>
    </row>
    <row r="10" spans="1:13" ht="16">
      <c r="A10" s="53"/>
      <c r="B10" s="82" t="s">
        <v>27</v>
      </c>
      <c r="C10" s="83" t="str">
        <f>+RESUMEN!C20</f>
        <v>11.520.369-K</v>
      </c>
      <c r="D10" s="84"/>
      <c r="E10" s="243"/>
      <c r="F10" s="85"/>
      <c r="G10" s="86"/>
      <c r="H10" s="87"/>
      <c r="I10" s="85"/>
      <c r="J10" s="87"/>
      <c r="K10" s="85"/>
      <c r="L10" s="85"/>
      <c r="M10" s="88"/>
    </row>
    <row r="11" spans="1:13" ht="16">
      <c r="A11" s="53"/>
      <c r="B11" s="82" t="s">
        <v>52</v>
      </c>
      <c r="C11" s="201"/>
      <c r="D11" s="84"/>
      <c r="E11" s="243"/>
      <c r="F11" s="85"/>
      <c r="G11" s="86"/>
      <c r="H11" s="87"/>
      <c r="I11" s="85"/>
      <c r="J11" s="87"/>
      <c r="K11" s="85"/>
      <c r="L11" s="85"/>
      <c r="M11" s="88"/>
    </row>
    <row r="12" spans="1:13">
      <c r="A12" s="53"/>
      <c r="B12" s="391"/>
      <c r="C12" s="392"/>
      <c r="D12" s="392"/>
      <c r="E12" s="392"/>
      <c r="F12" s="392"/>
      <c r="G12" s="392"/>
      <c r="H12" s="392"/>
      <c r="I12" s="392"/>
      <c r="J12" s="392"/>
      <c r="K12" s="392"/>
      <c r="L12" s="392"/>
      <c r="M12" s="393"/>
    </row>
    <row r="13" spans="1:13" ht="16">
      <c r="A13" s="53"/>
      <c r="B13" s="89" t="s">
        <v>28</v>
      </c>
      <c r="C13" s="90"/>
      <c r="D13" s="90"/>
      <c r="E13" s="91">
        <f>G45</f>
        <v>3071126</v>
      </c>
      <c r="F13" s="92"/>
      <c r="G13" s="93"/>
      <c r="H13" s="94"/>
      <c r="I13" s="92"/>
      <c r="J13" s="94"/>
      <c r="K13" s="92"/>
      <c r="L13" s="95" t="s">
        <v>29</v>
      </c>
      <c r="M13" s="96">
        <f>+RESUMEN!I17</f>
        <v>45947</v>
      </c>
    </row>
    <row r="14" spans="1:13">
      <c r="A14" s="53"/>
      <c r="B14" s="97"/>
      <c r="C14" s="92"/>
      <c r="D14" s="92"/>
      <c r="E14" s="244"/>
      <c r="F14" s="92"/>
      <c r="G14" s="93"/>
      <c r="H14" s="94"/>
      <c r="I14" s="92"/>
      <c r="J14" s="94"/>
      <c r="K14" s="92"/>
      <c r="L14" s="92"/>
      <c r="M14" s="98"/>
    </row>
    <row r="15" spans="1:13">
      <c r="A15" s="53"/>
      <c r="B15" s="99"/>
      <c r="C15" s="100"/>
      <c r="D15" s="101"/>
      <c r="E15" s="245"/>
      <c r="F15" s="102"/>
      <c r="G15" s="103" t="s">
        <v>30</v>
      </c>
      <c r="H15" s="394" t="s">
        <v>31</v>
      </c>
      <c r="I15" s="395"/>
      <c r="J15" s="396" t="s">
        <v>32</v>
      </c>
      <c r="K15" s="397"/>
      <c r="L15" s="405" t="s">
        <v>33</v>
      </c>
      <c r="M15" s="406"/>
    </row>
    <row r="16" spans="1:13">
      <c r="A16" s="53"/>
      <c r="B16" s="104" t="s">
        <v>34</v>
      </c>
      <c r="C16" s="400" t="s">
        <v>35</v>
      </c>
      <c r="D16" s="401"/>
      <c r="E16" s="401"/>
      <c r="F16" s="402"/>
      <c r="G16" s="105" t="s">
        <v>16</v>
      </c>
      <c r="H16" s="403" t="s">
        <v>36</v>
      </c>
      <c r="I16" s="404"/>
      <c r="J16" s="398"/>
      <c r="K16" s="399"/>
      <c r="L16" s="407" t="s">
        <v>37</v>
      </c>
      <c r="M16" s="408"/>
    </row>
    <row r="17" spans="1:15">
      <c r="A17" s="53"/>
      <c r="B17" s="106"/>
      <c r="C17" s="292"/>
      <c r="D17" s="257"/>
      <c r="E17" s="258"/>
      <c r="F17" s="259"/>
      <c r="G17" s="181"/>
      <c r="H17" s="108" t="s">
        <v>38</v>
      </c>
      <c r="I17" s="108" t="s">
        <v>39</v>
      </c>
      <c r="J17" s="108" t="s">
        <v>38</v>
      </c>
      <c r="K17" s="108" t="s">
        <v>39</v>
      </c>
      <c r="L17" s="108" t="s">
        <v>38</v>
      </c>
      <c r="M17" s="109" t="s">
        <v>39</v>
      </c>
    </row>
    <row r="18" spans="1:15">
      <c r="A18" s="53"/>
      <c r="B18" s="254"/>
      <c r="C18" s="306"/>
      <c r="D18" s="327" t="s">
        <v>40</v>
      </c>
      <c r="E18" s="285" t="s">
        <v>41</v>
      </c>
      <c r="F18" s="306" t="s">
        <v>42</v>
      </c>
      <c r="G18" s="307"/>
      <c r="H18" s="179"/>
      <c r="I18" s="110"/>
      <c r="J18" s="111"/>
      <c r="K18" s="110"/>
      <c r="L18" s="111"/>
      <c r="M18" s="112"/>
    </row>
    <row r="19" spans="1:15" ht="32">
      <c r="A19" s="53"/>
      <c r="B19" s="296">
        <v>1</v>
      </c>
      <c r="C19" s="325" t="s">
        <v>121</v>
      </c>
      <c r="D19" s="359" t="s">
        <v>88</v>
      </c>
      <c r="E19" s="360">
        <v>88.98</v>
      </c>
      <c r="F19" s="311">
        <v>9500</v>
      </c>
      <c r="G19" s="312">
        <f t="shared" ref="G19:G23" si="0">+F19*E19</f>
        <v>845310</v>
      </c>
      <c r="H19" s="276">
        <v>1</v>
      </c>
      <c r="I19" s="277">
        <f t="shared" ref="I19:I23" si="1">H19*G19</f>
        <v>845310</v>
      </c>
      <c r="J19" s="276">
        <v>1</v>
      </c>
      <c r="K19" s="277">
        <f t="shared" ref="K19:K23" si="2">J19*G19</f>
        <v>845310</v>
      </c>
      <c r="L19" s="278">
        <f t="shared" ref="L19:L23" si="3">H19-J19</f>
        <v>0</v>
      </c>
      <c r="M19" s="279">
        <f t="shared" ref="M19:M23" si="4">L19*G19</f>
        <v>0</v>
      </c>
      <c r="O19" s="193"/>
    </row>
    <row r="20" spans="1:15" ht="48">
      <c r="A20" s="53"/>
      <c r="B20" s="296"/>
      <c r="C20" s="326" t="s">
        <v>122</v>
      </c>
      <c r="D20" s="359" t="s">
        <v>161</v>
      </c>
      <c r="E20" s="360">
        <v>194.1</v>
      </c>
      <c r="F20" s="311">
        <v>8000</v>
      </c>
      <c r="G20" s="312">
        <f t="shared" si="0"/>
        <v>1552800</v>
      </c>
      <c r="H20" s="276">
        <v>1</v>
      </c>
      <c r="I20" s="277">
        <f t="shared" si="1"/>
        <v>1552800</v>
      </c>
      <c r="J20" s="276">
        <v>1</v>
      </c>
      <c r="K20" s="277">
        <f t="shared" si="2"/>
        <v>1552800</v>
      </c>
      <c r="L20" s="278">
        <f t="shared" si="3"/>
        <v>0</v>
      </c>
      <c r="M20" s="279">
        <f t="shared" si="4"/>
        <v>0</v>
      </c>
      <c r="O20" s="193"/>
    </row>
    <row r="21" spans="1:15" ht="16">
      <c r="A21" s="53"/>
      <c r="B21" s="296"/>
      <c r="C21" s="325" t="s">
        <v>123</v>
      </c>
      <c r="D21" s="359" t="s">
        <v>55</v>
      </c>
      <c r="E21" s="360">
        <v>1</v>
      </c>
      <c r="F21" s="311">
        <v>400000</v>
      </c>
      <c r="G21" s="312">
        <f t="shared" si="0"/>
        <v>400000</v>
      </c>
      <c r="H21" s="276">
        <v>1</v>
      </c>
      <c r="I21" s="277">
        <f t="shared" si="1"/>
        <v>400000</v>
      </c>
      <c r="J21" s="276">
        <v>1</v>
      </c>
      <c r="K21" s="277">
        <f t="shared" si="2"/>
        <v>400000</v>
      </c>
      <c r="L21" s="278">
        <f t="shared" si="3"/>
        <v>0</v>
      </c>
      <c r="M21" s="279">
        <f t="shared" si="4"/>
        <v>0</v>
      </c>
      <c r="O21" s="193"/>
    </row>
    <row r="22" spans="1:15" ht="32">
      <c r="A22" s="53"/>
      <c r="B22" s="296"/>
      <c r="C22" s="325" t="s">
        <v>124</v>
      </c>
      <c r="D22" s="359" t="s">
        <v>162</v>
      </c>
      <c r="E22" s="360">
        <v>132.5</v>
      </c>
      <c r="F22" s="311">
        <v>2000</v>
      </c>
      <c r="G22" s="312">
        <f t="shared" si="0"/>
        <v>265000</v>
      </c>
      <c r="H22" s="276">
        <v>1</v>
      </c>
      <c r="I22" s="277">
        <f t="shared" si="1"/>
        <v>265000</v>
      </c>
      <c r="J22" s="276">
        <v>1</v>
      </c>
      <c r="K22" s="277">
        <f t="shared" si="2"/>
        <v>265000</v>
      </c>
      <c r="L22" s="278">
        <f t="shared" si="3"/>
        <v>0</v>
      </c>
      <c r="M22" s="279">
        <f t="shared" si="4"/>
        <v>0</v>
      </c>
      <c r="O22" s="193"/>
    </row>
    <row r="23" spans="1:15" ht="16">
      <c r="A23" s="53"/>
      <c r="B23" s="296"/>
      <c r="C23" s="325" t="s">
        <v>125</v>
      </c>
      <c r="D23" s="359" t="s">
        <v>162</v>
      </c>
      <c r="E23" s="361">
        <v>1</v>
      </c>
      <c r="F23" s="311">
        <v>200000</v>
      </c>
      <c r="G23" s="312">
        <f t="shared" si="0"/>
        <v>200000</v>
      </c>
      <c r="H23" s="276">
        <v>1</v>
      </c>
      <c r="I23" s="277">
        <f t="shared" si="1"/>
        <v>200000</v>
      </c>
      <c r="J23" s="276">
        <v>1</v>
      </c>
      <c r="K23" s="277">
        <f t="shared" si="2"/>
        <v>200000</v>
      </c>
      <c r="L23" s="278">
        <f t="shared" si="3"/>
        <v>0</v>
      </c>
      <c r="M23" s="279">
        <f t="shared" si="4"/>
        <v>0</v>
      </c>
      <c r="O23" s="193"/>
    </row>
    <row r="24" spans="1:15">
      <c r="A24" s="53"/>
      <c r="B24" s="296"/>
      <c r="C24" s="325"/>
      <c r="D24" s="359"/>
      <c r="E24" s="361"/>
      <c r="F24" s="311"/>
      <c r="G24" s="312"/>
      <c r="H24" s="276"/>
      <c r="I24" s="277"/>
      <c r="J24" s="276"/>
      <c r="K24" s="277"/>
      <c r="L24" s="278"/>
      <c r="M24" s="279"/>
      <c r="O24" s="193"/>
    </row>
    <row r="25" spans="1:15">
      <c r="A25" s="53"/>
      <c r="B25" s="296"/>
      <c r="C25" s="325"/>
      <c r="D25" s="359"/>
      <c r="E25" s="361"/>
      <c r="F25" s="311"/>
      <c r="G25" s="312"/>
      <c r="H25" s="276"/>
      <c r="I25" s="277"/>
      <c r="J25" s="276"/>
      <c r="K25" s="277"/>
      <c r="L25" s="278"/>
      <c r="M25" s="279"/>
      <c r="O25" s="193"/>
    </row>
    <row r="26" spans="1:15" ht="16">
      <c r="A26" s="53"/>
      <c r="B26" s="296"/>
      <c r="C26" s="325" t="s">
        <v>160</v>
      </c>
      <c r="D26" s="359" t="s">
        <v>161</v>
      </c>
      <c r="E26" s="361">
        <v>63.78</v>
      </c>
      <c r="F26" s="311">
        <v>8000</v>
      </c>
      <c r="G26" s="312">
        <f t="shared" ref="G26" si="5">+F26*E26</f>
        <v>510240</v>
      </c>
      <c r="H26" s="276">
        <v>1</v>
      </c>
      <c r="I26" s="277">
        <f t="shared" ref="I26" si="6">H26*G26</f>
        <v>510240</v>
      </c>
      <c r="J26" s="276">
        <v>1</v>
      </c>
      <c r="K26" s="277">
        <f t="shared" ref="K26" si="7">J26*G26</f>
        <v>510240</v>
      </c>
      <c r="L26" s="278">
        <f t="shared" ref="L26" si="8">H26-J26</f>
        <v>0</v>
      </c>
      <c r="M26" s="279">
        <f t="shared" ref="M26" si="9">L26*G26</f>
        <v>0</v>
      </c>
      <c r="O26" s="193"/>
    </row>
    <row r="27" spans="1:15" ht="28.5" customHeight="1">
      <c r="A27" s="53"/>
      <c r="B27" s="297"/>
      <c r="C27" s="323"/>
      <c r="D27" s="359"/>
      <c r="E27" s="330"/>
      <c r="F27" s="311"/>
      <c r="G27" s="312"/>
      <c r="H27" s="276"/>
      <c r="I27" s="277"/>
      <c r="J27" s="276"/>
      <c r="K27" s="277"/>
      <c r="L27" s="278"/>
      <c r="M27" s="279"/>
      <c r="O27" s="193"/>
    </row>
    <row r="28" spans="1:15">
      <c r="A28" s="53"/>
      <c r="B28" s="297"/>
      <c r="C28" s="324"/>
      <c r="D28" s="328"/>
      <c r="E28" s="330"/>
      <c r="F28" s="314"/>
      <c r="G28" s="312"/>
      <c r="H28" s="276"/>
      <c r="I28" s="277"/>
      <c r="J28" s="276"/>
      <c r="K28" s="277"/>
      <c r="L28" s="278"/>
      <c r="M28" s="279"/>
      <c r="O28" s="193"/>
    </row>
    <row r="29" spans="1:15">
      <c r="A29" s="53"/>
      <c r="B29" s="297"/>
      <c r="C29" s="323"/>
      <c r="D29" s="328"/>
      <c r="E29" s="330"/>
      <c r="F29" s="314"/>
      <c r="G29" s="312"/>
      <c r="H29" s="276"/>
      <c r="I29" s="277"/>
      <c r="J29" s="276"/>
      <c r="K29" s="277"/>
      <c r="L29" s="278"/>
      <c r="M29" s="279"/>
      <c r="O29" s="193"/>
    </row>
    <row r="30" spans="1:15">
      <c r="A30" s="53"/>
      <c r="B30" s="297"/>
      <c r="C30" s="323"/>
      <c r="D30" s="328"/>
      <c r="E30" s="330"/>
      <c r="F30" s="314"/>
      <c r="G30" s="312"/>
      <c r="H30" s="276"/>
      <c r="I30" s="277"/>
      <c r="J30" s="276"/>
      <c r="K30" s="277"/>
      <c r="L30" s="278"/>
      <c r="M30" s="279"/>
      <c r="O30" s="193"/>
    </row>
    <row r="31" spans="1:15">
      <c r="A31" s="53"/>
      <c r="B31" s="297"/>
      <c r="C31" s="319" t="s">
        <v>118</v>
      </c>
      <c r="D31" s="329" t="s">
        <v>55</v>
      </c>
      <c r="E31" s="288">
        <v>-1</v>
      </c>
      <c r="F31" s="319">
        <v>163110</v>
      </c>
      <c r="G31" s="322">
        <f t="shared" ref="G31" si="10">+F31*E31</f>
        <v>-163110</v>
      </c>
      <c r="H31" s="342">
        <v>1</v>
      </c>
      <c r="I31" s="343">
        <f t="shared" ref="I31" si="11">H31*G31</f>
        <v>-163110</v>
      </c>
      <c r="J31" s="342">
        <v>1</v>
      </c>
      <c r="K31" s="343">
        <f t="shared" ref="K31" si="12">J31*G31</f>
        <v>-163110</v>
      </c>
      <c r="L31" s="344">
        <f t="shared" ref="L31" si="13">H31-J31</f>
        <v>0</v>
      </c>
      <c r="M31" s="345">
        <f t="shared" ref="M31" si="14">L31*G31</f>
        <v>0</v>
      </c>
      <c r="O31" s="193"/>
    </row>
    <row r="32" spans="1:15">
      <c r="A32" s="53"/>
      <c r="B32" s="297"/>
      <c r="C32" s="319"/>
      <c r="D32" s="329"/>
      <c r="E32" s="288"/>
      <c r="F32" s="319"/>
      <c r="G32" s="322"/>
      <c r="H32" s="276"/>
      <c r="I32" s="277"/>
      <c r="J32" s="276"/>
      <c r="K32" s="277"/>
      <c r="L32" s="278"/>
      <c r="M32" s="279"/>
      <c r="O32" s="193"/>
    </row>
    <row r="33" spans="1:15">
      <c r="A33" s="53"/>
      <c r="B33" s="297"/>
      <c r="C33" s="319" t="s">
        <v>148</v>
      </c>
      <c r="D33" s="329" t="s">
        <v>55</v>
      </c>
      <c r="E33" s="288">
        <v>-1</v>
      </c>
      <c r="F33" s="319">
        <v>93333</v>
      </c>
      <c r="G33" s="322">
        <f t="shared" ref="G33" si="15">+F33*E33</f>
        <v>-93333</v>
      </c>
      <c r="H33" s="342">
        <v>1</v>
      </c>
      <c r="I33" s="343">
        <f t="shared" ref="I33" si="16">H33*G33</f>
        <v>-93333</v>
      </c>
      <c r="J33" s="342">
        <v>1</v>
      </c>
      <c r="K33" s="343">
        <f t="shared" ref="K33" si="17">J33*G33</f>
        <v>-93333</v>
      </c>
      <c r="L33" s="344">
        <f t="shared" ref="L33" si="18">H33-J33</f>
        <v>0</v>
      </c>
      <c r="M33" s="345">
        <f t="shared" ref="M33" si="19">L33*G33</f>
        <v>0</v>
      </c>
      <c r="O33" s="193"/>
    </row>
    <row r="34" spans="1:15">
      <c r="A34" s="53"/>
      <c r="B34" s="297"/>
      <c r="C34" s="319" t="s">
        <v>149</v>
      </c>
      <c r="D34" s="329" t="s">
        <v>55</v>
      </c>
      <c r="E34" s="288">
        <v>-1</v>
      </c>
      <c r="F34" s="319">
        <v>19766</v>
      </c>
      <c r="G34" s="322">
        <f t="shared" ref="G34" si="20">+F34*E34</f>
        <v>-19766</v>
      </c>
      <c r="H34" s="342">
        <v>1</v>
      </c>
      <c r="I34" s="343">
        <f t="shared" ref="I34" si="21">H34*G34</f>
        <v>-19766</v>
      </c>
      <c r="J34" s="342">
        <v>1</v>
      </c>
      <c r="K34" s="343">
        <f t="shared" ref="K34" si="22">J34*G34</f>
        <v>-19766</v>
      </c>
      <c r="L34" s="344">
        <f t="shared" ref="L34" si="23">H34-J34</f>
        <v>0</v>
      </c>
      <c r="M34" s="345">
        <f t="shared" ref="M34" si="24">L34*G34</f>
        <v>0</v>
      </c>
      <c r="O34" s="193"/>
    </row>
    <row r="35" spans="1:15">
      <c r="A35" s="53"/>
      <c r="B35" s="297"/>
      <c r="C35" s="319"/>
      <c r="D35" s="329"/>
      <c r="E35" s="288"/>
      <c r="F35" s="319"/>
      <c r="G35" s="322"/>
      <c r="H35" s="342"/>
      <c r="I35" s="343"/>
      <c r="J35" s="342"/>
      <c r="K35" s="343"/>
      <c r="L35" s="344"/>
      <c r="M35" s="345"/>
      <c r="O35" s="193"/>
    </row>
    <row r="36" spans="1:15">
      <c r="A36" s="53"/>
      <c r="B36" s="297"/>
      <c r="C36" s="319" t="s">
        <v>150</v>
      </c>
      <c r="D36" s="329" t="s">
        <v>55</v>
      </c>
      <c r="E36" s="288">
        <v>-1</v>
      </c>
      <c r="F36" s="319">
        <v>93333</v>
      </c>
      <c r="G36" s="322">
        <f t="shared" ref="G36:G41" si="25">+F36*E36</f>
        <v>-93333</v>
      </c>
      <c r="H36" s="342">
        <v>1</v>
      </c>
      <c r="I36" s="343">
        <f t="shared" ref="I36:I37" si="26">H36*G36</f>
        <v>-93333</v>
      </c>
      <c r="J36" s="342">
        <v>1</v>
      </c>
      <c r="K36" s="343">
        <f t="shared" ref="K36:K37" si="27">J36*G36</f>
        <v>-93333</v>
      </c>
      <c r="L36" s="344">
        <f t="shared" ref="L36:L37" si="28">H36-J36</f>
        <v>0</v>
      </c>
      <c r="M36" s="345">
        <f t="shared" ref="M36:M37" si="29">L36*G36</f>
        <v>0</v>
      </c>
      <c r="O36" s="193"/>
    </row>
    <row r="37" spans="1:15">
      <c r="A37" s="53"/>
      <c r="B37" s="297"/>
      <c r="C37" s="319" t="s">
        <v>151</v>
      </c>
      <c r="D37" s="329" t="s">
        <v>55</v>
      </c>
      <c r="E37" s="288">
        <v>-1</v>
      </c>
      <c r="F37" s="319">
        <v>19766</v>
      </c>
      <c r="G37" s="322">
        <f t="shared" si="25"/>
        <v>-19766</v>
      </c>
      <c r="H37" s="342">
        <v>1</v>
      </c>
      <c r="I37" s="343">
        <f t="shared" si="26"/>
        <v>-19766</v>
      </c>
      <c r="J37" s="342">
        <v>1</v>
      </c>
      <c r="K37" s="343">
        <f t="shared" si="27"/>
        <v>-19766</v>
      </c>
      <c r="L37" s="344">
        <f t="shared" si="28"/>
        <v>0</v>
      </c>
      <c r="M37" s="345">
        <f t="shared" si="29"/>
        <v>0</v>
      </c>
      <c r="O37" s="193"/>
    </row>
    <row r="38" spans="1:15">
      <c r="A38" s="53"/>
      <c r="B38" s="297"/>
      <c r="C38" s="319" t="s">
        <v>159</v>
      </c>
      <c r="D38" s="329" t="s">
        <v>55</v>
      </c>
      <c r="E38" s="288">
        <v>-1</v>
      </c>
      <c r="F38" s="319">
        <v>22916</v>
      </c>
      <c r="G38" s="322">
        <f t="shared" si="25"/>
        <v>-22916</v>
      </c>
      <c r="H38" s="342">
        <v>1</v>
      </c>
      <c r="I38" s="343">
        <f t="shared" ref="I38" si="30">H38*G38</f>
        <v>-22916</v>
      </c>
      <c r="J38" s="342">
        <v>1</v>
      </c>
      <c r="K38" s="343">
        <f t="shared" ref="K38" si="31">J38*G38</f>
        <v>-22916</v>
      </c>
      <c r="L38" s="344">
        <f t="shared" ref="L38" si="32">H38-J38</f>
        <v>0</v>
      </c>
      <c r="M38" s="345">
        <f t="shared" ref="M38" si="33">L38*G38</f>
        <v>0</v>
      </c>
      <c r="O38" s="193"/>
    </row>
    <row r="39" spans="1:15">
      <c r="A39" s="53"/>
      <c r="B39" s="297"/>
      <c r="C39" s="319"/>
      <c r="D39" s="329"/>
      <c r="E39" s="288"/>
      <c r="F39" s="319"/>
      <c r="G39" s="322"/>
      <c r="H39" s="342"/>
      <c r="I39" s="343"/>
      <c r="J39" s="342"/>
      <c r="K39" s="343"/>
      <c r="L39" s="344"/>
      <c r="M39" s="345"/>
      <c r="O39" s="193"/>
    </row>
    <row r="40" spans="1:15">
      <c r="A40" s="53"/>
      <c r="B40" s="297"/>
      <c r="C40" s="316"/>
      <c r="D40" s="328"/>
      <c r="E40" s="266"/>
      <c r="F40" s="316"/>
      <c r="G40" s="312"/>
      <c r="H40" s="276"/>
      <c r="I40" s="277"/>
      <c r="J40" s="276"/>
      <c r="K40" s="277"/>
      <c r="L40" s="278"/>
      <c r="M40" s="279"/>
      <c r="O40" s="193"/>
    </row>
    <row r="41" spans="1:15">
      <c r="A41" s="53"/>
      <c r="B41" s="297"/>
      <c r="C41" s="319" t="s">
        <v>158</v>
      </c>
      <c r="D41" s="329" t="s">
        <v>55</v>
      </c>
      <c r="E41" s="288">
        <v>-2</v>
      </c>
      <c r="F41" s="319">
        <v>145000</v>
      </c>
      <c r="G41" s="322">
        <f t="shared" si="25"/>
        <v>-290000</v>
      </c>
      <c r="H41" s="342">
        <v>1</v>
      </c>
      <c r="I41" s="343">
        <f t="shared" ref="I41" si="34">H41*G41</f>
        <v>-290000</v>
      </c>
      <c r="J41" s="342">
        <v>1</v>
      </c>
      <c r="K41" s="343">
        <f t="shared" ref="K41" si="35">J41*G41</f>
        <v>-290000</v>
      </c>
      <c r="L41" s="344">
        <f t="shared" ref="L41" si="36">H41-J41</f>
        <v>0</v>
      </c>
      <c r="M41" s="345">
        <f t="shared" ref="M41" si="37">L41*G41</f>
        <v>0</v>
      </c>
      <c r="O41" s="193"/>
    </row>
    <row r="42" spans="1:15">
      <c r="A42" s="53"/>
      <c r="B42" s="297"/>
      <c r="C42" s="319"/>
      <c r="D42" s="328"/>
      <c r="E42" s="288"/>
      <c r="F42" s="319"/>
      <c r="G42" s="320"/>
      <c r="H42" s="276"/>
      <c r="I42" s="277"/>
      <c r="J42" s="276"/>
      <c r="K42" s="277"/>
      <c r="L42" s="278"/>
      <c r="M42" s="279"/>
      <c r="O42" s="193"/>
    </row>
    <row r="43" spans="1:15">
      <c r="A43" s="53"/>
      <c r="B43" s="297"/>
      <c r="C43" s="182"/>
      <c r="D43" s="298"/>
      <c r="E43" s="266"/>
      <c r="F43" s="316"/>
      <c r="G43" s="255"/>
      <c r="H43" s="180"/>
      <c r="I43" s="114"/>
      <c r="J43" s="180"/>
      <c r="K43" s="114"/>
      <c r="L43" s="113"/>
      <c r="M43" s="115"/>
      <c r="O43" s="193"/>
    </row>
    <row r="44" spans="1:15">
      <c r="A44" s="53"/>
      <c r="B44" s="254"/>
      <c r="C44" s="262"/>
      <c r="D44" s="302"/>
      <c r="E44" s="264"/>
      <c r="F44" s="332"/>
      <c r="G44" s="295"/>
      <c r="H44" s="180"/>
      <c r="I44" s="114"/>
      <c r="J44" s="180"/>
      <c r="K44" s="114"/>
      <c r="L44" s="113"/>
      <c r="M44" s="115"/>
      <c r="O44" s="193"/>
    </row>
    <row r="45" spans="1:15">
      <c r="A45" s="53"/>
      <c r="B45" s="117"/>
      <c r="C45" s="293" t="s">
        <v>43</v>
      </c>
      <c r="D45" s="77"/>
      <c r="E45" s="258"/>
      <c r="F45" s="260"/>
      <c r="G45" s="114">
        <f>SUM(G18:G44)</f>
        <v>3071126</v>
      </c>
      <c r="H45" s="121"/>
      <c r="I45" s="120">
        <f>SUM(I18:I44)</f>
        <v>3071126</v>
      </c>
      <c r="J45" s="122"/>
      <c r="K45" s="120">
        <f>SUM(K18:K44)</f>
        <v>3071126</v>
      </c>
      <c r="L45" s="123"/>
      <c r="M45" s="124">
        <f>SUM(M18:M44)</f>
        <v>0</v>
      </c>
    </row>
    <row r="46" spans="1:15">
      <c r="A46" s="53"/>
      <c r="B46" s="202"/>
      <c r="C46" s="203" t="s">
        <v>44</v>
      </c>
      <c r="D46" s="204"/>
      <c r="E46" s="247"/>
      <c r="F46" s="205"/>
      <c r="G46" s="206"/>
      <c r="H46" s="207"/>
      <c r="I46" s="208">
        <f>I45*F46</f>
        <v>0</v>
      </c>
      <c r="J46" s="209"/>
      <c r="K46" s="208">
        <f>K45*F46</f>
        <v>0</v>
      </c>
      <c r="L46" s="210"/>
      <c r="M46" s="211">
        <f>M45*F46</f>
        <v>0</v>
      </c>
      <c r="O46" s="193"/>
    </row>
    <row r="47" spans="1:15">
      <c r="A47" s="53"/>
      <c r="B47" s="223"/>
      <c r="C47" s="224" t="s">
        <v>58</v>
      </c>
      <c r="D47" s="225"/>
      <c r="E47" s="248"/>
      <c r="F47" s="226"/>
      <c r="G47" s="227">
        <v>0</v>
      </c>
      <c r="H47" s="228">
        <v>0</v>
      </c>
      <c r="I47" s="114">
        <f>H47*G47</f>
        <v>0</v>
      </c>
      <c r="J47" s="113">
        <v>0</v>
      </c>
      <c r="K47" s="114">
        <f>G47*J47</f>
        <v>0</v>
      </c>
      <c r="L47" s="113">
        <f>H47-J47</f>
        <v>0</v>
      </c>
      <c r="M47" s="115">
        <f>L47*G47</f>
        <v>0</v>
      </c>
    </row>
    <row r="48" spans="1:15">
      <c r="A48" s="126"/>
      <c r="B48" s="127"/>
      <c r="C48" s="128" t="s">
        <v>45</v>
      </c>
      <c r="D48" s="129"/>
      <c r="E48" s="249"/>
      <c r="F48" s="130"/>
      <c r="G48" s="131">
        <f>G45-G46+G47</f>
        <v>3071126</v>
      </c>
      <c r="H48" s="4" t="s">
        <v>46</v>
      </c>
      <c r="I48" s="134">
        <f>+I45-I46</f>
        <v>3071126</v>
      </c>
      <c r="J48" s="132"/>
      <c r="K48" s="134">
        <f>+K45-K46</f>
        <v>3071126</v>
      </c>
      <c r="L48" s="133"/>
      <c r="M48" s="134">
        <f>+M45-M46</f>
        <v>0</v>
      </c>
    </row>
    <row r="49" spans="1:15">
      <c r="A49" s="53"/>
      <c r="B49" s="117"/>
      <c r="C49" s="118" t="s">
        <v>47</v>
      </c>
      <c r="D49" s="55"/>
      <c r="E49" s="245"/>
      <c r="F49" s="119"/>
      <c r="G49" s="120">
        <f>G48*19%</f>
        <v>583513.94000000006</v>
      </c>
      <c r="H49" s="121"/>
      <c r="I49" s="120">
        <f>I48*19%</f>
        <v>583513.94000000006</v>
      </c>
      <c r="J49" s="122"/>
      <c r="K49" s="120">
        <f>K48*19%</f>
        <v>583513.94000000006</v>
      </c>
      <c r="L49" s="123"/>
      <c r="M49" s="120">
        <f>+M48*0.19</f>
        <v>0</v>
      </c>
      <c r="O49" s="193"/>
    </row>
    <row r="50" spans="1:15">
      <c r="A50" s="53"/>
      <c r="B50" s="125"/>
      <c r="C50" s="135" t="s">
        <v>48</v>
      </c>
      <c r="D50" s="60"/>
      <c r="E50" s="246"/>
      <c r="F50" s="116"/>
      <c r="G50" s="136">
        <f>SUM(G48:G49)</f>
        <v>3654639.94</v>
      </c>
      <c r="H50" s="137"/>
      <c r="I50" s="136">
        <f>SUM(I48:I49)</f>
        <v>3654639.94</v>
      </c>
      <c r="J50" s="138"/>
      <c r="K50" s="136">
        <f>SUM(K48:K49)</f>
        <v>3654639.94</v>
      </c>
      <c r="L50" s="139"/>
      <c r="M50" s="136">
        <f>SUM(M48:M49)</f>
        <v>0</v>
      </c>
    </row>
    <row r="51" spans="1:15">
      <c r="A51" s="53"/>
      <c r="B51" s="117"/>
      <c r="C51" s="67"/>
      <c r="D51" s="67"/>
      <c r="E51" s="250"/>
      <c r="F51" s="140"/>
      <c r="G51" s="68"/>
      <c r="H51" s="141"/>
      <c r="I51" s="142"/>
      <c r="J51" s="143"/>
      <c r="K51" s="142"/>
      <c r="L51" s="144"/>
      <c r="M51" s="145"/>
      <c r="O51" s="193"/>
    </row>
    <row r="52" spans="1:15">
      <c r="A52" s="53"/>
      <c r="B52" s="146"/>
      <c r="C52" s="147"/>
      <c r="D52" s="147"/>
      <c r="E52" s="230"/>
      <c r="F52" s="148"/>
      <c r="G52" s="149"/>
      <c r="H52" s="150"/>
      <c r="I52" s="151"/>
      <c r="J52" s="152"/>
      <c r="K52" s="151"/>
      <c r="L52" s="153"/>
      <c r="M52" s="154"/>
    </row>
    <row r="53" spans="1:15">
      <c r="A53" s="53"/>
      <c r="B53" s="146"/>
      <c r="C53" s="147"/>
      <c r="D53" s="147"/>
      <c r="E53" s="230"/>
      <c r="F53" s="148"/>
      <c r="G53" s="149"/>
      <c r="H53" s="150"/>
      <c r="I53" s="151"/>
      <c r="J53" s="152"/>
      <c r="K53" s="151"/>
      <c r="L53" s="153"/>
      <c r="M53" s="154"/>
    </row>
    <row r="54" spans="1:15">
      <c r="A54" s="53"/>
      <c r="B54" s="155"/>
      <c r="C54" s="147"/>
      <c r="D54" s="147"/>
      <c r="E54" s="230"/>
      <c r="F54" s="147"/>
      <c r="G54" s="147"/>
      <c r="H54" s="156"/>
      <c r="I54" s="157"/>
      <c r="J54" s="158"/>
      <c r="K54" s="159"/>
      <c r="L54" s="158"/>
      <c r="M54" s="160"/>
    </row>
    <row r="55" spans="1:15">
      <c r="A55" s="53"/>
      <c r="B55" s="161"/>
      <c r="C55" s="77"/>
      <c r="D55" s="77"/>
      <c r="E55" s="251"/>
      <c r="F55" s="77"/>
      <c r="G55" s="162"/>
      <c r="H55" s="78"/>
      <c r="I55" s="77"/>
      <c r="J55" s="78"/>
      <c r="K55" s="77"/>
      <c r="L55" s="77"/>
      <c r="M55" s="163"/>
    </row>
    <row r="56" spans="1:15">
      <c r="A56" s="53"/>
      <c r="B56" s="155"/>
      <c r="C56" s="376"/>
      <c r="D56" s="377"/>
      <c r="E56" s="377"/>
      <c r="F56" s="378"/>
      <c r="G56" s="379"/>
      <c r="H56" s="380"/>
      <c r="I56" s="380"/>
      <c r="J56" s="381"/>
      <c r="K56" s="77"/>
      <c r="L56" s="77"/>
      <c r="M56" s="163"/>
    </row>
    <row r="57" spans="1:15">
      <c r="A57" s="53"/>
      <c r="B57" s="59"/>
      <c r="C57" s="60"/>
      <c r="D57" s="60"/>
      <c r="E57" s="239"/>
      <c r="F57" s="60"/>
      <c r="G57" s="61"/>
      <c r="H57" s="62"/>
      <c r="I57" s="60"/>
      <c r="J57" s="62"/>
      <c r="K57" s="60"/>
      <c r="L57" s="60"/>
      <c r="M57" s="164"/>
    </row>
    <row r="58" spans="1:15">
      <c r="A58" s="53"/>
      <c r="B58" s="165"/>
      <c r="C58" s="382"/>
      <c r="D58" s="383"/>
      <c r="E58" s="383"/>
      <c r="F58" s="383"/>
      <c r="G58" s="384"/>
      <c r="H58" s="385" t="s">
        <v>49</v>
      </c>
      <c r="I58" s="386"/>
      <c r="J58" s="386"/>
      <c r="K58" s="386"/>
      <c r="L58" s="386"/>
      <c r="M58" s="387"/>
    </row>
    <row r="59" spans="1:15">
      <c r="A59" s="53"/>
      <c r="B59" s="161"/>
      <c r="C59" s="77"/>
      <c r="D59" s="77"/>
      <c r="E59" s="251"/>
      <c r="F59" s="77"/>
      <c r="G59" s="162"/>
      <c r="H59" s="78"/>
      <c r="I59" s="77"/>
      <c r="J59" s="78"/>
      <c r="K59" s="77"/>
      <c r="L59" s="77"/>
      <c r="M59" s="163"/>
    </row>
    <row r="60" spans="1:15" ht="16" thickBot="1">
      <c r="A60" s="53"/>
      <c r="B60" s="166"/>
      <c r="C60" s="167"/>
      <c r="D60" s="167"/>
      <c r="E60" s="252"/>
      <c r="F60" s="167"/>
      <c r="G60" s="168"/>
      <c r="H60" s="169"/>
      <c r="I60" s="167"/>
      <c r="J60" s="169"/>
      <c r="K60" s="167"/>
      <c r="L60" s="167"/>
      <c r="M60" s="170"/>
    </row>
    <row r="62" spans="1:15">
      <c r="G62" s="229"/>
    </row>
  </sheetData>
  <mergeCells count="12">
    <mergeCell ref="C56:F56"/>
    <mergeCell ref="G56:J56"/>
    <mergeCell ref="C58:G58"/>
    <mergeCell ref="H58:M58"/>
    <mergeCell ref="B3:M3"/>
    <mergeCell ref="B12:M12"/>
    <mergeCell ref="H15:I15"/>
    <mergeCell ref="J15:K16"/>
    <mergeCell ref="L15:M15"/>
    <mergeCell ref="C16:F16"/>
    <mergeCell ref="H16:I16"/>
    <mergeCell ref="L16:M16"/>
  </mergeCells>
  <pageMargins left="0.70000000000000007" right="0.70000000000000007" top="0.75000000000000011" bottom="0.75000000000000011" header="0.30000000000000004" footer="0.30000000000000004"/>
  <pageSetup scale="32" orientation="landscape" horizontalDpi="4294967292" verticalDpi="4294967292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17F05C-9C46-4F3F-B52E-E0EDD0928613}">
  <sheetPr>
    <tabColor theme="0" tint="-0.499984740745262"/>
    <pageSetUpPr fitToPage="1"/>
  </sheetPr>
  <dimension ref="A1:O57"/>
  <sheetViews>
    <sheetView topLeftCell="A10" zoomScale="70" zoomScaleNormal="70" zoomScalePageLayoutView="70" workbookViewId="0">
      <selection activeCell="D19" sqref="D19"/>
    </sheetView>
  </sheetViews>
  <sheetFormatPr baseColWidth="10" defaultRowHeight="15"/>
  <cols>
    <col min="1" max="1" width="4.33203125" style="51" customWidth="1"/>
    <col min="2" max="2" width="16.5" style="51" customWidth="1"/>
    <col min="3" max="3" width="55.1640625" style="51" customWidth="1"/>
    <col min="4" max="4" width="20.5" style="51" customWidth="1"/>
    <col min="5" max="5" width="21" style="253" customWidth="1"/>
    <col min="6" max="6" width="16" style="51" customWidth="1"/>
    <col min="7" max="7" width="19.5" style="51" customWidth="1"/>
    <col min="8" max="8" width="12.33203125" style="51" customWidth="1"/>
    <col min="9" max="9" width="18.83203125" style="51" customWidth="1"/>
    <col min="10" max="10" width="12.5" style="51" customWidth="1"/>
    <col min="11" max="11" width="19.83203125" style="51" customWidth="1"/>
    <col min="12" max="12" width="13.6640625" style="51" customWidth="1"/>
    <col min="13" max="13" width="23.1640625" style="51" customWidth="1"/>
    <col min="15" max="15" width="19" customWidth="1"/>
  </cols>
  <sheetData>
    <row r="1" spans="1:13">
      <c r="A1" s="1"/>
      <c r="B1" s="1"/>
      <c r="C1" s="1"/>
      <c r="D1" s="1"/>
      <c r="E1" s="236"/>
      <c r="F1" s="1"/>
      <c r="G1" s="1"/>
      <c r="H1" s="1"/>
      <c r="I1" s="1"/>
      <c r="J1" s="1"/>
      <c r="K1" s="1"/>
      <c r="L1" s="1"/>
      <c r="M1" s="1"/>
    </row>
    <row r="2" spans="1:13" ht="16" thickBot="1">
      <c r="A2" s="1"/>
      <c r="B2" s="52"/>
      <c r="C2" s="52"/>
      <c r="D2" s="52"/>
      <c r="E2" s="237"/>
      <c r="F2" s="52"/>
      <c r="G2" s="52"/>
      <c r="H2" s="52"/>
      <c r="I2" s="52"/>
      <c r="J2" s="52"/>
      <c r="K2" s="52"/>
      <c r="L2" s="52"/>
      <c r="M2" s="52"/>
    </row>
    <row r="3" spans="1:13" ht="21">
      <c r="A3" s="53"/>
      <c r="B3" s="388" t="s">
        <v>50</v>
      </c>
      <c r="C3" s="389"/>
      <c r="D3" s="389"/>
      <c r="E3" s="389"/>
      <c r="F3" s="389"/>
      <c r="G3" s="389"/>
      <c r="H3" s="389"/>
      <c r="I3" s="389"/>
      <c r="J3" s="389"/>
      <c r="K3" s="389"/>
      <c r="L3" s="389"/>
      <c r="M3" s="390"/>
    </row>
    <row r="4" spans="1:13">
      <c r="A4" s="53"/>
      <c r="B4" s="54"/>
      <c r="C4" s="55"/>
      <c r="D4" s="55"/>
      <c r="E4" s="238"/>
      <c r="F4" s="55"/>
      <c r="G4" s="56"/>
      <c r="H4" s="57"/>
      <c r="I4" s="55"/>
      <c r="J4" s="57"/>
      <c r="K4" s="55"/>
      <c r="L4" s="55"/>
      <c r="M4" s="58"/>
    </row>
    <row r="5" spans="1:13">
      <c r="A5" s="53"/>
      <c r="B5" s="59"/>
      <c r="C5" s="60"/>
      <c r="D5" s="60"/>
      <c r="E5" s="239"/>
      <c r="F5" s="60"/>
      <c r="G5" s="61"/>
      <c r="H5" s="62"/>
      <c r="I5" s="60"/>
      <c r="J5" s="62"/>
      <c r="K5" s="60"/>
      <c r="L5" s="60"/>
      <c r="M5" s="63" t="str">
        <f>+RESUMEN!D19</f>
        <v>CORREDORA LUZ MARIA CORREA</v>
      </c>
    </row>
    <row r="6" spans="1:13" ht="16">
      <c r="A6" s="53"/>
      <c r="B6" s="64" t="s">
        <v>23</v>
      </c>
      <c r="C6" s="65" t="str">
        <f>+RESUMEN!C9</f>
        <v>REMODELACION BAÑOS SHC LA CALERA</v>
      </c>
      <c r="D6" s="66"/>
      <c r="E6" s="240"/>
      <c r="F6" s="67"/>
      <c r="G6" s="68"/>
      <c r="H6" s="69"/>
      <c r="I6" s="67"/>
      <c r="J6" s="69"/>
      <c r="K6" s="67"/>
      <c r="L6" s="67"/>
      <c r="M6" s="70"/>
    </row>
    <row r="7" spans="1:13" ht="16">
      <c r="A7" s="53"/>
      <c r="B7" s="71" t="s">
        <v>24</v>
      </c>
      <c r="C7" s="72" t="str">
        <f>+RESUMEN!C10</f>
        <v>MALL OPEN PLAZA LA CALERA</v>
      </c>
      <c r="D7" s="73"/>
      <c r="E7" s="241"/>
      <c r="F7" s="74"/>
      <c r="G7" s="75"/>
      <c r="H7" s="76"/>
      <c r="I7" s="77"/>
      <c r="J7" s="78"/>
      <c r="K7" s="74"/>
      <c r="L7" s="74"/>
      <c r="M7" s="79" t="s">
        <v>25</v>
      </c>
    </row>
    <row r="8" spans="1:13" ht="16">
      <c r="A8" s="53"/>
      <c r="B8" s="71" t="s">
        <v>19</v>
      </c>
      <c r="C8" s="171" t="str">
        <f>+RESUMEN!B20</f>
        <v>DPTO 752 CONDOMINIO RAVELLO</v>
      </c>
      <c r="D8" s="73"/>
      <c r="E8" s="241"/>
      <c r="F8" s="74"/>
      <c r="G8" s="75"/>
      <c r="H8" s="76"/>
      <c r="I8" s="74"/>
      <c r="J8" s="76"/>
      <c r="K8" s="74"/>
      <c r="L8" s="74"/>
      <c r="M8" s="80" t="str">
        <f>+RESUMEN!I15</f>
        <v>EEPP#06</v>
      </c>
    </row>
    <row r="9" spans="1:13" ht="16">
      <c r="A9" s="53"/>
      <c r="B9" s="71" t="s">
        <v>26</v>
      </c>
      <c r="C9" s="72"/>
      <c r="D9" s="73"/>
      <c r="E9" s="242"/>
      <c r="F9" s="73"/>
      <c r="G9" s="75"/>
      <c r="H9" s="76"/>
      <c r="I9" s="74"/>
      <c r="J9" s="76"/>
      <c r="K9" s="74"/>
      <c r="L9" s="74"/>
      <c r="M9" s="81"/>
    </row>
    <row r="10" spans="1:13" ht="16">
      <c r="A10" s="53"/>
      <c r="B10" s="82" t="s">
        <v>27</v>
      </c>
      <c r="C10" s="83" t="str">
        <f>+RESUMEN!C20</f>
        <v>11.520.369-K</v>
      </c>
      <c r="D10" s="84"/>
      <c r="E10" s="243"/>
      <c r="F10" s="85"/>
      <c r="G10" s="86"/>
      <c r="H10" s="87"/>
      <c r="I10" s="85"/>
      <c r="J10" s="87"/>
      <c r="K10" s="85"/>
      <c r="L10" s="85"/>
      <c r="M10" s="88"/>
    </row>
    <row r="11" spans="1:13" ht="16">
      <c r="A11" s="53"/>
      <c r="B11" s="82" t="s">
        <v>52</v>
      </c>
      <c r="C11" s="201"/>
      <c r="D11" s="84"/>
      <c r="E11" s="243"/>
      <c r="F11" s="85"/>
      <c r="G11" s="86"/>
      <c r="H11" s="87"/>
      <c r="I11" s="85"/>
      <c r="J11" s="87"/>
      <c r="K11" s="85"/>
      <c r="L11" s="85"/>
      <c r="M11" s="88"/>
    </row>
    <row r="12" spans="1:13">
      <c r="A12" s="53"/>
      <c r="B12" s="391"/>
      <c r="C12" s="392"/>
      <c r="D12" s="392"/>
      <c r="E12" s="392"/>
      <c r="F12" s="392"/>
      <c r="G12" s="392"/>
      <c r="H12" s="392"/>
      <c r="I12" s="392"/>
      <c r="J12" s="392"/>
      <c r="K12" s="392"/>
      <c r="L12" s="392"/>
      <c r="M12" s="393"/>
    </row>
    <row r="13" spans="1:13" ht="16">
      <c r="A13" s="53"/>
      <c r="B13" s="89" t="s">
        <v>28</v>
      </c>
      <c r="C13" s="90"/>
      <c r="D13" s="90"/>
      <c r="E13" s="91">
        <f>G40</f>
        <v>0</v>
      </c>
      <c r="F13" s="92"/>
      <c r="G13" s="93"/>
      <c r="H13" s="94"/>
      <c r="I13" s="92"/>
      <c r="J13" s="94"/>
      <c r="K13" s="92"/>
      <c r="L13" s="95" t="s">
        <v>29</v>
      </c>
      <c r="M13" s="96">
        <f>+RESUMEN!I17</f>
        <v>45947</v>
      </c>
    </row>
    <row r="14" spans="1:13">
      <c r="A14" s="53"/>
      <c r="B14" s="97"/>
      <c r="C14" s="92"/>
      <c r="D14" s="92"/>
      <c r="E14" s="244"/>
      <c r="F14" s="92"/>
      <c r="G14" s="93"/>
      <c r="H14" s="94"/>
      <c r="I14" s="92"/>
      <c r="J14" s="94"/>
      <c r="K14" s="92"/>
      <c r="L14" s="92"/>
      <c r="M14" s="98"/>
    </row>
    <row r="15" spans="1:13">
      <c r="A15" s="53"/>
      <c r="B15" s="99"/>
      <c r="C15" s="100"/>
      <c r="D15" s="101"/>
      <c r="E15" s="245"/>
      <c r="F15" s="102"/>
      <c r="G15" s="103" t="s">
        <v>30</v>
      </c>
      <c r="H15" s="394" t="s">
        <v>31</v>
      </c>
      <c r="I15" s="395"/>
      <c r="J15" s="396" t="s">
        <v>32</v>
      </c>
      <c r="K15" s="397"/>
      <c r="L15" s="405" t="s">
        <v>33</v>
      </c>
      <c r="M15" s="406"/>
    </row>
    <row r="16" spans="1:13">
      <c r="A16" s="53"/>
      <c r="B16" s="104" t="s">
        <v>34</v>
      </c>
      <c r="C16" s="400" t="s">
        <v>35</v>
      </c>
      <c r="D16" s="401"/>
      <c r="E16" s="401"/>
      <c r="F16" s="402"/>
      <c r="G16" s="105" t="s">
        <v>16</v>
      </c>
      <c r="H16" s="403" t="s">
        <v>36</v>
      </c>
      <c r="I16" s="404"/>
      <c r="J16" s="398"/>
      <c r="K16" s="399"/>
      <c r="L16" s="407" t="s">
        <v>37</v>
      </c>
      <c r="M16" s="408"/>
    </row>
    <row r="17" spans="1:15">
      <c r="A17" s="53"/>
      <c r="B17" s="106"/>
      <c r="C17" s="292"/>
      <c r="D17" s="257"/>
      <c r="E17" s="258"/>
      <c r="F17" s="259"/>
      <c r="G17" s="181"/>
      <c r="H17" s="108" t="s">
        <v>38</v>
      </c>
      <c r="I17" s="108" t="s">
        <v>39</v>
      </c>
      <c r="J17" s="108" t="s">
        <v>38</v>
      </c>
      <c r="K17" s="108" t="s">
        <v>39</v>
      </c>
      <c r="L17" s="108" t="s">
        <v>38</v>
      </c>
      <c r="M17" s="109" t="s">
        <v>39</v>
      </c>
    </row>
    <row r="18" spans="1:15">
      <c r="A18" s="53"/>
      <c r="B18" s="254"/>
      <c r="C18" s="306"/>
      <c r="D18" s="327" t="s">
        <v>40</v>
      </c>
      <c r="E18" s="285" t="s">
        <v>41</v>
      </c>
      <c r="F18" s="306" t="s">
        <v>42</v>
      </c>
      <c r="G18" s="307"/>
      <c r="H18" s="179"/>
      <c r="I18" s="110"/>
      <c r="J18" s="111"/>
      <c r="K18" s="110"/>
      <c r="L18" s="111"/>
      <c r="M18" s="112"/>
    </row>
    <row r="19" spans="1:15">
      <c r="A19" s="53"/>
      <c r="B19" s="296">
        <v>1</v>
      </c>
      <c r="C19" s="325"/>
      <c r="D19" s="328"/>
      <c r="E19" s="333"/>
      <c r="F19" s="331"/>
      <c r="G19" s="312">
        <f t="shared" ref="G19:G23" si="0">+F19*E19</f>
        <v>0</v>
      </c>
      <c r="H19" s="276">
        <v>0</v>
      </c>
      <c r="I19" s="277">
        <f t="shared" ref="I19:I23" si="1">H19*G19</f>
        <v>0</v>
      </c>
      <c r="J19" s="276">
        <v>0</v>
      </c>
      <c r="K19" s="277">
        <f t="shared" ref="K19:K23" si="2">J19*G19</f>
        <v>0</v>
      </c>
      <c r="L19" s="278">
        <f t="shared" ref="L19:L23" si="3">H19-J19</f>
        <v>0</v>
      </c>
      <c r="M19" s="279">
        <f t="shared" ref="M19:M23" si="4">L19*G19</f>
        <v>0</v>
      </c>
      <c r="O19" s="193"/>
    </row>
    <row r="20" spans="1:15">
      <c r="A20" s="53"/>
      <c r="B20" s="296"/>
      <c r="C20" s="326"/>
      <c r="D20" s="328"/>
      <c r="E20" s="333"/>
      <c r="F20" s="331"/>
      <c r="G20" s="312">
        <f t="shared" si="0"/>
        <v>0</v>
      </c>
      <c r="H20" s="276">
        <v>0</v>
      </c>
      <c r="I20" s="277">
        <f t="shared" si="1"/>
        <v>0</v>
      </c>
      <c r="J20" s="276">
        <v>0</v>
      </c>
      <c r="K20" s="277">
        <f t="shared" si="2"/>
        <v>0</v>
      </c>
      <c r="L20" s="278">
        <f t="shared" si="3"/>
        <v>0</v>
      </c>
      <c r="M20" s="279">
        <f t="shared" si="4"/>
        <v>0</v>
      </c>
      <c r="O20" s="193"/>
    </row>
    <row r="21" spans="1:15">
      <c r="A21" s="53"/>
      <c r="B21" s="296"/>
      <c r="C21" s="325"/>
      <c r="D21" s="328"/>
      <c r="E21" s="333"/>
      <c r="F21" s="331"/>
      <c r="G21" s="312">
        <f t="shared" si="0"/>
        <v>0</v>
      </c>
      <c r="H21" s="276">
        <v>0</v>
      </c>
      <c r="I21" s="277">
        <f t="shared" si="1"/>
        <v>0</v>
      </c>
      <c r="J21" s="276">
        <v>0</v>
      </c>
      <c r="K21" s="277">
        <f t="shared" si="2"/>
        <v>0</v>
      </c>
      <c r="L21" s="278">
        <f t="shared" si="3"/>
        <v>0</v>
      </c>
      <c r="M21" s="279">
        <f t="shared" si="4"/>
        <v>0</v>
      </c>
      <c r="O21" s="193"/>
    </row>
    <row r="22" spans="1:15">
      <c r="A22" s="53"/>
      <c r="B22" s="296"/>
      <c r="C22" s="325"/>
      <c r="D22" s="328"/>
      <c r="E22" s="333"/>
      <c r="F22" s="331"/>
      <c r="G22" s="312">
        <f t="shared" si="0"/>
        <v>0</v>
      </c>
      <c r="H22" s="276">
        <v>0</v>
      </c>
      <c r="I22" s="277">
        <f t="shared" si="1"/>
        <v>0</v>
      </c>
      <c r="J22" s="276">
        <v>0</v>
      </c>
      <c r="K22" s="277">
        <f t="shared" si="2"/>
        <v>0</v>
      </c>
      <c r="L22" s="278">
        <f t="shared" si="3"/>
        <v>0</v>
      </c>
      <c r="M22" s="279">
        <f t="shared" si="4"/>
        <v>0</v>
      </c>
      <c r="O22" s="193"/>
    </row>
    <row r="23" spans="1:15">
      <c r="A23" s="53"/>
      <c r="B23" s="296"/>
      <c r="C23" s="325"/>
      <c r="D23" s="328"/>
      <c r="E23" s="334"/>
      <c r="F23" s="331"/>
      <c r="G23" s="312">
        <f t="shared" si="0"/>
        <v>0</v>
      </c>
      <c r="H23" s="276">
        <v>0</v>
      </c>
      <c r="I23" s="277">
        <f t="shared" si="1"/>
        <v>0</v>
      </c>
      <c r="J23" s="276">
        <v>0</v>
      </c>
      <c r="K23" s="277">
        <f t="shared" si="2"/>
        <v>0</v>
      </c>
      <c r="L23" s="278">
        <f t="shared" si="3"/>
        <v>0</v>
      </c>
      <c r="M23" s="279">
        <f t="shared" si="4"/>
        <v>0</v>
      </c>
      <c r="O23" s="193"/>
    </row>
    <row r="24" spans="1:15" ht="28.5" customHeight="1">
      <c r="A24" s="53"/>
      <c r="B24" s="297"/>
      <c r="C24" s="323"/>
      <c r="D24" s="328"/>
      <c r="E24" s="330"/>
      <c r="F24" s="311"/>
      <c r="G24" s="312"/>
      <c r="H24" s="276"/>
      <c r="I24" s="277"/>
      <c r="J24" s="276"/>
      <c r="K24" s="277"/>
      <c r="L24" s="278"/>
      <c r="M24" s="279"/>
      <c r="O24" s="193"/>
    </row>
    <row r="25" spans="1:15">
      <c r="A25" s="53"/>
      <c r="B25" s="297"/>
      <c r="C25" s="324"/>
      <c r="D25" s="328"/>
      <c r="E25" s="330"/>
      <c r="F25" s="314"/>
      <c r="G25" s="312"/>
      <c r="H25" s="276"/>
      <c r="I25" s="277"/>
      <c r="J25" s="276"/>
      <c r="K25" s="277"/>
      <c r="L25" s="278"/>
      <c r="M25" s="279"/>
      <c r="O25" s="193"/>
    </row>
    <row r="26" spans="1:15">
      <c r="A26" s="53"/>
      <c r="B26" s="297"/>
      <c r="C26" s="323"/>
      <c r="D26" s="328"/>
      <c r="E26" s="330"/>
      <c r="F26" s="314"/>
      <c r="G26" s="312"/>
      <c r="H26" s="276"/>
      <c r="I26" s="277"/>
      <c r="J26" s="276"/>
      <c r="K26" s="277"/>
      <c r="L26" s="278"/>
      <c r="M26" s="279"/>
      <c r="O26" s="193"/>
    </row>
    <row r="27" spans="1:15">
      <c r="A27" s="53"/>
      <c r="B27" s="297"/>
      <c r="C27" s="323"/>
      <c r="D27" s="328"/>
      <c r="E27" s="330"/>
      <c r="F27" s="314"/>
      <c r="G27" s="312"/>
      <c r="H27" s="276"/>
      <c r="I27" s="277"/>
      <c r="J27" s="276"/>
      <c r="K27" s="277"/>
      <c r="L27" s="278"/>
      <c r="M27" s="279"/>
      <c r="O27" s="193"/>
    </row>
    <row r="28" spans="1:15">
      <c r="A28" s="53"/>
      <c r="B28" s="297"/>
      <c r="C28" s="316"/>
      <c r="D28" s="328"/>
      <c r="E28" s="266"/>
      <c r="F28" s="316"/>
      <c r="G28" s="312"/>
      <c r="H28" s="276"/>
      <c r="I28" s="277"/>
      <c r="J28" s="276"/>
      <c r="K28" s="277"/>
      <c r="L28" s="278"/>
      <c r="M28" s="279"/>
      <c r="O28" s="193"/>
    </row>
    <row r="29" spans="1:15">
      <c r="A29" s="53"/>
      <c r="B29" s="297"/>
      <c r="C29" s="319"/>
      <c r="D29" s="329"/>
      <c r="E29" s="288"/>
      <c r="F29" s="319"/>
      <c r="G29" s="322"/>
      <c r="H29" s="276"/>
      <c r="I29" s="277"/>
      <c r="J29" s="276"/>
      <c r="K29" s="277"/>
      <c r="L29" s="278"/>
      <c r="M29" s="279"/>
      <c r="O29" s="193"/>
    </row>
    <row r="30" spans="1:15">
      <c r="A30" s="53"/>
      <c r="B30" s="297"/>
      <c r="C30" s="319"/>
      <c r="D30" s="329"/>
      <c r="E30" s="288"/>
      <c r="F30" s="319"/>
      <c r="G30" s="322"/>
      <c r="H30" s="276"/>
      <c r="I30" s="277"/>
      <c r="J30" s="276"/>
      <c r="K30" s="277"/>
      <c r="L30" s="278"/>
      <c r="M30" s="279"/>
      <c r="O30" s="193"/>
    </row>
    <row r="31" spans="1:15">
      <c r="A31" s="53"/>
      <c r="B31" s="297"/>
      <c r="C31" s="316"/>
      <c r="D31" s="328"/>
      <c r="E31" s="266"/>
      <c r="F31" s="316"/>
      <c r="G31" s="312"/>
      <c r="H31" s="276"/>
      <c r="I31" s="277"/>
      <c r="J31" s="276"/>
      <c r="K31" s="277"/>
      <c r="L31" s="278"/>
      <c r="M31" s="279"/>
      <c r="O31" s="193"/>
    </row>
    <row r="32" spans="1:15">
      <c r="A32" s="53"/>
      <c r="B32" s="297"/>
      <c r="C32" s="316"/>
      <c r="D32" s="328"/>
      <c r="E32" s="266"/>
      <c r="F32" s="316"/>
      <c r="G32" s="312"/>
      <c r="H32" s="276"/>
      <c r="I32" s="277"/>
      <c r="J32" s="276"/>
      <c r="K32" s="277"/>
      <c r="L32" s="278"/>
      <c r="M32" s="279"/>
      <c r="O32" s="193"/>
    </row>
    <row r="33" spans="1:15">
      <c r="A33" s="53"/>
      <c r="B33" s="297"/>
      <c r="C33" s="316"/>
      <c r="D33" s="328"/>
      <c r="E33" s="266"/>
      <c r="F33" s="316"/>
      <c r="G33" s="312"/>
      <c r="H33" s="276"/>
      <c r="I33" s="277"/>
      <c r="J33" s="276"/>
      <c r="K33" s="277"/>
      <c r="L33" s="278"/>
      <c r="M33" s="279"/>
      <c r="O33" s="193"/>
    </row>
    <row r="34" spans="1:15">
      <c r="A34" s="53"/>
      <c r="B34" s="297"/>
      <c r="C34" s="316"/>
      <c r="D34" s="328"/>
      <c r="E34" s="266"/>
      <c r="F34" s="316"/>
      <c r="G34" s="312"/>
      <c r="H34" s="276"/>
      <c r="I34" s="277"/>
      <c r="J34" s="276"/>
      <c r="K34" s="277"/>
      <c r="L34" s="278"/>
      <c r="M34" s="279"/>
      <c r="O34" s="193"/>
    </row>
    <row r="35" spans="1:15">
      <c r="A35" s="53"/>
      <c r="B35" s="297"/>
      <c r="C35" s="316"/>
      <c r="D35" s="328"/>
      <c r="E35" s="266"/>
      <c r="F35" s="316"/>
      <c r="G35" s="312"/>
      <c r="H35" s="276"/>
      <c r="I35" s="277"/>
      <c r="J35" s="276"/>
      <c r="K35" s="277"/>
      <c r="L35" s="278"/>
      <c r="M35" s="279"/>
      <c r="O35" s="193"/>
    </row>
    <row r="36" spans="1:15">
      <c r="A36" s="53"/>
      <c r="B36" s="297"/>
      <c r="C36" s="316"/>
      <c r="D36" s="328"/>
      <c r="E36" s="266"/>
      <c r="F36" s="316"/>
      <c r="G36" s="317"/>
      <c r="H36" s="276"/>
      <c r="I36" s="277"/>
      <c r="J36" s="276"/>
      <c r="K36" s="277"/>
      <c r="L36" s="278"/>
      <c r="M36" s="279"/>
      <c r="O36" s="193"/>
    </row>
    <row r="37" spans="1:15">
      <c r="A37" s="53"/>
      <c r="B37" s="297"/>
      <c r="C37" s="319"/>
      <c r="D37" s="328"/>
      <c r="E37" s="288"/>
      <c r="F37" s="319"/>
      <c r="G37" s="320"/>
      <c r="H37" s="276"/>
      <c r="I37" s="277"/>
      <c r="J37" s="276"/>
      <c r="K37" s="277"/>
      <c r="L37" s="278"/>
      <c r="M37" s="279"/>
      <c r="O37" s="193"/>
    </row>
    <row r="38" spans="1:15">
      <c r="A38" s="53"/>
      <c r="B38" s="297"/>
      <c r="C38" s="182"/>
      <c r="D38" s="298"/>
      <c r="E38" s="266"/>
      <c r="F38" s="316"/>
      <c r="G38" s="255"/>
      <c r="H38" s="180"/>
      <c r="I38" s="114"/>
      <c r="J38" s="180"/>
      <c r="K38" s="114"/>
      <c r="L38" s="113"/>
      <c r="M38" s="115"/>
      <c r="O38" s="193"/>
    </row>
    <row r="39" spans="1:15">
      <c r="A39" s="53"/>
      <c r="B39" s="254"/>
      <c r="C39" s="262"/>
      <c r="D39" s="302"/>
      <c r="E39" s="264"/>
      <c r="F39" s="332"/>
      <c r="G39" s="295"/>
      <c r="H39" s="180"/>
      <c r="I39" s="114"/>
      <c r="J39" s="180"/>
      <c r="K39" s="114"/>
      <c r="L39" s="113"/>
      <c r="M39" s="115"/>
      <c r="O39" s="193"/>
    </row>
    <row r="40" spans="1:15">
      <c r="A40" s="53"/>
      <c r="B40" s="117"/>
      <c r="C40" s="293" t="s">
        <v>43</v>
      </c>
      <c r="D40" s="77"/>
      <c r="E40" s="258"/>
      <c r="F40" s="260"/>
      <c r="G40" s="114">
        <f>SUM(G18:G39)</f>
        <v>0</v>
      </c>
      <c r="H40" s="121"/>
      <c r="I40" s="120">
        <f>SUM(I18:I39)</f>
        <v>0</v>
      </c>
      <c r="J40" s="122"/>
      <c r="K40" s="120">
        <f>SUM(K18:K39)</f>
        <v>0</v>
      </c>
      <c r="L40" s="123"/>
      <c r="M40" s="124">
        <f>SUM(M18:M39)</f>
        <v>0</v>
      </c>
    </row>
    <row r="41" spans="1:15">
      <c r="A41" s="53"/>
      <c r="B41" s="202"/>
      <c r="C41" s="203" t="s">
        <v>44</v>
      </c>
      <c r="D41" s="204"/>
      <c r="E41" s="247"/>
      <c r="F41" s="205"/>
      <c r="G41" s="206"/>
      <c r="H41" s="207"/>
      <c r="I41" s="208">
        <f>I40*F41</f>
        <v>0</v>
      </c>
      <c r="J41" s="209"/>
      <c r="K41" s="208">
        <f>K40*F41</f>
        <v>0</v>
      </c>
      <c r="L41" s="210"/>
      <c r="M41" s="211">
        <f>M40*F41</f>
        <v>0</v>
      </c>
      <c r="O41" s="193"/>
    </row>
    <row r="42" spans="1:15">
      <c r="A42" s="53"/>
      <c r="B42" s="223"/>
      <c r="C42" s="224" t="s">
        <v>58</v>
      </c>
      <c r="D42" s="225"/>
      <c r="E42" s="248"/>
      <c r="F42" s="226"/>
      <c r="G42" s="227">
        <v>0</v>
      </c>
      <c r="H42" s="228">
        <v>0</v>
      </c>
      <c r="I42" s="114">
        <f>H42*G42</f>
        <v>0</v>
      </c>
      <c r="J42" s="113">
        <v>0</v>
      </c>
      <c r="K42" s="114">
        <f>G42*J42</f>
        <v>0</v>
      </c>
      <c r="L42" s="113">
        <f>H42-J42</f>
        <v>0</v>
      </c>
      <c r="M42" s="115">
        <f>L42*G42</f>
        <v>0</v>
      </c>
    </row>
    <row r="43" spans="1:15">
      <c r="A43" s="126"/>
      <c r="B43" s="127"/>
      <c r="C43" s="128" t="s">
        <v>45</v>
      </c>
      <c r="D43" s="129"/>
      <c r="E43" s="249"/>
      <c r="F43" s="130"/>
      <c r="G43" s="131">
        <f>G40-G41+G42</f>
        <v>0</v>
      </c>
      <c r="H43" s="4" t="s">
        <v>46</v>
      </c>
      <c r="I43" s="134">
        <f>+I40-I41</f>
        <v>0</v>
      </c>
      <c r="J43" s="132"/>
      <c r="K43" s="134">
        <f>+K40-K41</f>
        <v>0</v>
      </c>
      <c r="L43" s="133"/>
      <c r="M43" s="134">
        <f>+M40-M41</f>
        <v>0</v>
      </c>
    </row>
    <row r="44" spans="1:15">
      <c r="A44" s="53"/>
      <c r="B44" s="117"/>
      <c r="C44" s="118" t="s">
        <v>47</v>
      </c>
      <c r="D44" s="55"/>
      <c r="E44" s="245"/>
      <c r="F44" s="119"/>
      <c r="G44" s="120">
        <f>G43*19%</f>
        <v>0</v>
      </c>
      <c r="H44" s="121"/>
      <c r="I44" s="120">
        <f>I43*19%</f>
        <v>0</v>
      </c>
      <c r="J44" s="122"/>
      <c r="K44" s="120">
        <f>K43*19%</f>
        <v>0</v>
      </c>
      <c r="L44" s="123"/>
      <c r="M44" s="120">
        <f>+M43*0.19</f>
        <v>0</v>
      </c>
      <c r="O44" s="193"/>
    </row>
    <row r="45" spans="1:15">
      <c r="A45" s="53"/>
      <c r="B45" s="125"/>
      <c r="C45" s="135" t="s">
        <v>48</v>
      </c>
      <c r="D45" s="60"/>
      <c r="E45" s="246"/>
      <c r="F45" s="116"/>
      <c r="G45" s="136">
        <f>SUM(G43:G44)</f>
        <v>0</v>
      </c>
      <c r="H45" s="137"/>
      <c r="I45" s="136">
        <f>SUM(I43:I44)</f>
        <v>0</v>
      </c>
      <c r="J45" s="138"/>
      <c r="K45" s="136">
        <f>SUM(K43:K44)</f>
        <v>0</v>
      </c>
      <c r="L45" s="139"/>
      <c r="M45" s="136">
        <f>SUM(M43:M44)</f>
        <v>0</v>
      </c>
    </row>
    <row r="46" spans="1:15">
      <c r="A46" s="53"/>
      <c r="B46" s="117"/>
      <c r="C46" s="67"/>
      <c r="D46" s="67"/>
      <c r="E46" s="250"/>
      <c r="F46" s="140"/>
      <c r="G46" s="68"/>
      <c r="H46" s="141"/>
      <c r="I46" s="142"/>
      <c r="J46" s="143"/>
      <c r="K46" s="142"/>
      <c r="L46" s="144"/>
      <c r="M46" s="145"/>
      <c r="O46" s="193"/>
    </row>
    <row r="47" spans="1:15">
      <c r="A47" s="53"/>
      <c r="B47" s="146"/>
      <c r="C47" s="147"/>
      <c r="D47" s="147"/>
      <c r="E47" s="230"/>
      <c r="F47" s="148"/>
      <c r="G47" s="149"/>
      <c r="H47" s="150"/>
      <c r="I47" s="151"/>
      <c r="J47" s="152"/>
      <c r="K47" s="151"/>
      <c r="L47" s="153"/>
      <c r="M47" s="154"/>
    </row>
    <row r="48" spans="1:15">
      <c r="A48" s="53"/>
      <c r="B48" s="146"/>
      <c r="C48" s="147"/>
      <c r="D48" s="147"/>
      <c r="E48" s="230"/>
      <c r="F48" s="148"/>
      <c r="G48" s="149"/>
      <c r="H48" s="150"/>
      <c r="I48" s="151"/>
      <c r="J48" s="152"/>
      <c r="K48" s="151"/>
      <c r="L48" s="153"/>
      <c r="M48" s="154"/>
    </row>
    <row r="49" spans="1:13">
      <c r="A49" s="53"/>
      <c r="B49" s="155"/>
      <c r="C49" s="147"/>
      <c r="D49" s="147"/>
      <c r="E49" s="230"/>
      <c r="F49" s="147"/>
      <c r="G49" s="147"/>
      <c r="H49" s="156"/>
      <c r="I49" s="157"/>
      <c r="J49" s="158"/>
      <c r="K49" s="159"/>
      <c r="L49" s="158"/>
      <c r="M49" s="160"/>
    </row>
    <row r="50" spans="1:13">
      <c r="A50" s="53"/>
      <c r="B50" s="161"/>
      <c r="C50" s="77"/>
      <c r="D50" s="77"/>
      <c r="E50" s="251"/>
      <c r="F50" s="77"/>
      <c r="G50" s="162"/>
      <c r="H50" s="78"/>
      <c r="I50" s="77"/>
      <c r="J50" s="78"/>
      <c r="K50" s="77"/>
      <c r="L50" s="77"/>
      <c r="M50" s="163"/>
    </row>
    <row r="51" spans="1:13">
      <c r="A51" s="53"/>
      <c r="B51" s="155"/>
      <c r="C51" s="376"/>
      <c r="D51" s="377"/>
      <c r="E51" s="377"/>
      <c r="F51" s="378"/>
      <c r="G51" s="379"/>
      <c r="H51" s="380"/>
      <c r="I51" s="380"/>
      <c r="J51" s="381"/>
      <c r="K51" s="77"/>
      <c r="L51" s="77"/>
      <c r="M51" s="163"/>
    </row>
    <row r="52" spans="1:13">
      <c r="A52" s="53"/>
      <c r="B52" s="59"/>
      <c r="C52" s="60"/>
      <c r="D52" s="60"/>
      <c r="E52" s="239"/>
      <c r="F52" s="60"/>
      <c r="G52" s="61"/>
      <c r="H52" s="62"/>
      <c r="I52" s="60"/>
      <c r="J52" s="62"/>
      <c r="K52" s="60"/>
      <c r="L52" s="60"/>
      <c r="M52" s="164"/>
    </row>
    <row r="53" spans="1:13">
      <c r="A53" s="53"/>
      <c r="B53" s="165"/>
      <c r="C53" s="382"/>
      <c r="D53" s="383"/>
      <c r="E53" s="383"/>
      <c r="F53" s="383"/>
      <c r="G53" s="384"/>
      <c r="H53" s="385" t="s">
        <v>49</v>
      </c>
      <c r="I53" s="386"/>
      <c r="J53" s="386"/>
      <c r="K53" s="386"/>
      <c r="L53" s="386"/>
      <c r="M53" s="387"/>
    </row>
    <row r="54" spans="1:13">
      <c r="A54" s="53"/>
      <c r="B54" s="161"/>
      <c r="C54" s="77"/>
      <c r="D54" s="77"/>
      <c r="E54" s="251"/>
      <c r="F54" s="77"/>
      <c r="G54" s="162"/>
      <c r="H54" s="78"/>
      <c r="I54" s="77"/>
      <c r="J54" s="78"/>
      <c r="K54" s="77"/>
      <c r="L54" s="77"/>
      <c r="M54" s="163"/>
    </row>
    <row r="55" spans="1:13" ht="16" thickBot="1">
      <c r="A55" s="53"/>
      <c r="B55" s="166"/>
      <c r="C55" s="167"/>
      <c r="D55" s="167"/>
      <c r="E55" s="252"/>
      <c r="F55" s="167"/>
      <c r="G55" s="168"/>
      <c r="H55" s="169"/>
      <c r="I55" s="167"/>
      <c r="J55" s="169"/>
      <c r="K55" s="167"/>
      <c r="L55" s="167"/>
      <c r="M55" s="170"/>
    </row>
    <row r="57" spans="1:13">
      <c r="G57" s="229"/>
    </row>
  </sheetData>
  <mergeCells count="12">
    <mergeCell ref="C51:F51"/>
    <mergeCell ref="G51:J51"/>
    <mergeCell ref="C53:G53"/>
    <mergeCell ref="H53:M53"/>
    <mergeCell ref="B3:M3"/>
    <mergeCell ref="B12:M12"/>
    <mergeCell ref="H15:I15"/>
    <mergeCell ref="J15:K16"/>
    <mergeCell ref="L15:M15"/>
    <mergeCell ref="C16:F16"/>
    <mergeCell ref="H16:I16"/>
    <mergeCell ref="L16:M16"/>
  </mergeCells>
  <pageMargins left="0.70000000000000007" right="0.70000000000000007" top="0.75000000000000011" bottom="0.75000000000000011" header="0.30000000000000004" footer="0.30000000000000004"/>
  <pageSetup scale="32" orientation="landscape" horizontalDpi="4294967292" verticalDpi="4294967292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AF2E9-815D-4EFA-B918-AA47764E0E2F}">
  <sheetPr>
    <tabColor theme="0" tint="-0.499984740745262"/>
    <pageSetUpPr fitToPage="1"/>
  </sheetPr>
  <dimension ref="A1:O60"/>
  <sheetViews>
    <sheetView zoomScale="70" zoomScaleNormal="70" zoomScalePageLayoutView="70" workbookViewId="0">
      <selection activeCell="J19" sqref="J19:J23"/>
    </sheetView>
  </sheetViews>
  <sheetFormatPr baseColWidth="10" defaultRowHeight="15"/>
  <cols>
    <col min="1" max="1" width="4.33203125" style="51" customWidth="1"/>
    <col min="2" max="2" width="16.5" style="51" customWidth="1"/>
    <col min="3" max="3" width="55.1640625" style="51" customWidth="1"/>
    <col min="4" max="4" width="20.5" style="51" customWidth="1"/>
    <col min="5" max="5" width="21" style="253" customWidth="1"/>
    <col min="6" max="6" width="16" style="51" customWidth="1"/>
    <col min="7" max="7" width="19.5" style="51" customWidth="1"/>
    <col min="8" max="8" width="12.33203125" style="51" customWidth="1"/>
    <col min="9" max="9" width="18.83203125" style="51" customWidth="1"/>
    <col min="10" max="10" width="12.5" style="51" customWidth="1"/>
    <col min="11" max="11" width="19.83203125" style="51" customWidth="1"/>
    <col min="12" max="12" width="13.6640625" style="51" customWidth="1"/>
    <col min="13" max="13" width="23.1640625" style="51" customWidth="1"/>
    <col min="15" max="15" width="19" customWidth="1"/>
  </cols>
  <sheetData>
    <row r="1" spans="1:13">
      <c r="A1" s="1"/>
      <c r="B1" s="1"/>
      <c r="C1" s="1"/>
      <c r="D1" s="1"/>
      <c r="E1" s="236"/>
      <c r="F1" s="1"/>
      <c r="G1" s="1"/>
      <c r="H1" s="1"/>
      <c r="I1" s="1"/>
      <c r="J1" s="1"/>
      <c r="K1" s="1"/>
      <c r="L1" s="1"/>
      <c r="M1" s="1"/>
    </row>
    <row r="2" spans="1:13" ht="16" thickBot="1">
      <c r="A2" s="1"/>
      <c r="B2" s="52"/>
      <c r="C2" s="52"/>
      <c r="D2" s="52"/>
      <c r="E2" s="237"/>
      <c r="F2" s="52"/>
      <c r="G2" s="52"/>
      <c r="H2" s="52"/>
      <c r="I2" s="52"/>
      <c r="J2" s="52"/>
      <c r="K2" s="52"/>
      <c r="L2" s="52"/>
      <c r="M2" s="52"/>
    </row>
    <row r="3" spans="1:13" ht="21">
      <c r="A3" s="53"/>
      <c r="B3" s="388" t="s">
        <v>50</v>
      </c>
      <c r="C3" s="389"/>
      <c r="D3" s="389"/>
      <c r="E3" s="389"/>
      <c r="F3" s="389"/>
      <c r="G3" s="389"/>
      <c r="H3" s="389"/>
      <c r="I3" s="389"/>
      <c r="J3" s="389"/>
      <c r="K3" s="389"/>
      <c r="L3" s="389"/>
      <c r="M3" s="390"/>
    </row>
    <row r="4" spans="1:13">
      <c r="A4" s="53"/>
      <c r="B4" s="54"/>
      <c r="C4" s="55"/>
      <c r="D4" s="55"/>
      <c r="E4" s="238"/>
      <c r="F4" s="55"/>
      <c r="G4" s="56"/>
      <c r="H4" s="57"/>
      <c r="I4" s="55"/>
      <c r="J4" s="57"/>
      <c r="K4" s="55"/>
      <c r="L4" s="55"/>
      <c r="M4" s="58"/>
    </row>
    <row r="5" spans="1:13">
      <c r="A5" s="53"/>
      <c r="B5" s="59"/>
      <c r="C5" s="60"/>
      <c r="D5" s="60"/>
      <c r="E5" s="239"/>
      <c r="F5" s="60"/>
      <c r="G5" s="61"/>
      <c r="H5" s="62"/>
      <c r="I5" s="60"/>
      <c r="J5" s="62"/>
      <c r="K5" s="60"/>
      <c r="L5" s="60"/>
      <c r="M5" s="63" t="str">
        <f>+RESUMEN!D19</f>
        <v>CORREDORA LUZ MARIA CORREA</v>
      </c>
    </row>
    <row r="6" spans="1:13" ht="16">
      <c r="A6" s="53"/>
      <c r="B6" s="64" t="s">
        <v>23</v>
      </c>
      <c r="C6" s="65" t="str">
        <f>+RESUMEN!C9</f>
        <v>REMODELACION BAÑOS SHC LA CALERA</v>
      </c>
      <c r="D6" s="66"/>
      <c r="E6" s="240"/>
      <c r="F6" s="67"/>
      <c r="G6" s="68"/>
      <c r="H6" s="69"/>
      <c r="I6" s="67"/>
      <c r="J6" s="69"/>
      <c r="K6" s="67"/>
      <c r="L6" s="67"/>
      <c r="M6" s="70"/>
    </row>
    <row r="7" spans="1:13" ht="16">
      <c r="A7" s="53"/>
      <c r="B7" s="71" t="s">
        <v>24</v>
      </c>
      <c r="C7" s="72" t="str">
        <f>+RESUMEN!C10</f>
        <v>MALL OPEN PLAZA LA CALERA</v>
      </c>
      <c r="D7" s="73"/>
      <c r="E7" s="241"/>
      <c r="F7" s="74"/>
      <c r="G7" s="75"/>
      <c r="H7" s="76"/>
      <c r="I7" s="77"/>
      <c r="J7" s="78"/>
      <c r="K7" s="74"/>
      <c r="L7" s="74"/>
      <c r="M7" s="79" t="s">
        <v>25</v>
      </c>
    </row>
    <row r="8" spans="1:13" ht="16">
      <c r="A8" s="53"/>
      <c r="B8" s="71" t="s">
        <v>19</v>
      </c>
      <c r="C8" s="171" t="str">
        <f>+RESUMEN!B20</f>
        <v>DPTO 752 CONDOMINIO RAVELLO</v>
      </c>
      <c r="D8" s="73"/>
      <c r="E8" s="241"/>
      <c r="F8" s="74"/>
      <c r="G8" s="75"/>
      <c r="H8" s="76"/>
      <c r="I8" s="74"/>
      <c r="J8" s="76"/>
      <c r="K8" s="74"/>
      <c r="L8" s="74"/>
      <c r="M8" s="80" t="str">
        <f>+RESUMEN!I15</f>
        <v>EEPP#06</v>
      </c>
    </row>
    <row r="9" spans="1:13" ht="16">
      <c r="A9" s="53"/>
      <c r="B9" s="71" t="s">
        <v>26</v>
      </c>
      <c r="C9" s="72"/>
      <c r="D9" s="73"/>
      <c r="E9" s="242"/>
      <c r="F9" s="73"/>
      <c r="G9" s="75"/>
      <c r="H9" s="76"/>
      <c r="I9" s="74"/>
      <c r="J9" s="76"/>
      <c r="K9" s="74"/>
      <c r="L9" s="74"/>
      <c r="M9" s="81"/>
    </row>
    <row r="10" spans="1:13" ht="16">
      <c r="A10" s="53"/>
      <c r="B10" s="82" t="s">
        <v>27</v>
      </c>
      <c r="C10" s="83" t="str">
        <f>+RESUMEN!C20</f>
        <v>11.520.369-K</v>
      </c>
      <c r="D10" s="84"/>
      <c r="E10" s="243"/>
      <c r="F10" s="85"/>
      <c r="G10" s="86"/>
      <c r="H10" s="87"/>
      <c r="I10" s="85"/>
      <c r="J10" s="87"/>
      <c r="K10" s="85"/>
      <c r="L10" s="85"/>
      <c r="M10" s="88"/>
    </row>
    <row r="11" spans="1:13" ht="16">
      <c r="A11" s="53"/>
      <c r="B11" s="82" t="s">
        <v>52</v>
      </c>
      <c r="C11" s="201"/>
      <c r="D11" s="84"/>
      <c r="E11" s="243"/>
      <c r="F11" s="85"/>
      <c r="G11" s="86"/>
      <c r="H11" s="87"/>
      <c r="I11" s="85"/>
      <c r="J11" s="87"/>
      <c r="K11" s="85"/>
      <c r="L11" s="85"/>
      <c r="M11" s="88"/>
    </row>
    <row r="12" spans="1:13">
      <c r="A12" s="53"/>
      <c r="B12" s="391"/>
      <c r="C12" s="392"/>
      <c r="D12" s="392"/>
      <c r="E12" s="392"/>
      <c r="F12" s="392"/>
      <c r="G12" s="392"/>
      <c r="H12" s="392"/>
      <c r="I12" s="392"/>
      <c r="J12" s="392"/>
      <c r="K12" s="392"/>
      <c r="L12" s="392"/>
      <c r="M12" s="393"/>
    </row>
    <row r="13" spans="1:13" ht="16">
      <c r="A13" s="53"/>
      <c r="B13" s="89" t="s">
        <v>28</v>
      </c>
      <c r="C13" s="90"/>
      <c r="D13" s="90"/>
      <c r="E13" s="91">
        <f>G43</f>
        <v>335000</v>
      </c>
      <c r="F13" s="92"/>
      <c r="G13" s="93"/>
      <c r="H13" s="94"/>
      <c r="I13" s="92"/>
      <c r="J13" s="94"/>
      <c r="K13" s="92"/>
      <c r="L13" s="95" t="s">
        <v>29</v>
      </c>
      <c r="M13" s="96">
        <f>+RESUMEN!I17</f>
        <v>45947</v>
      </c>
    </row>
    <row r="14" spans="1:13">
      <c r="A14" s="53"/>
      <c r="B14" s="97"/>
      <c r="C14" s="92"/>
      <c r="D14" s="92"/>
      <c r="E14" s="244"/>
      <c r="F14" s="92"/>
      <c r="G14" s="93"/>
      <c r="H14" s="94"/>
      <c r="I14" s="92"/>
      <c r="J14" s="94"/>
      <c r="K14" s="92"/>
      <c r="L14" s="92"/>
      <c r="M14" s="98"/>
    </row>
    <row r="15" spans="1:13">
      <c r="A15" s="53"/>
      <c r="B15" s="99"/>
      <c r="C15" s="100"/>
      <c r="D15" s="101"/>
      <c r="E15" s="245"/>
      <c r="F15" s="102"/>
      <c r="G15" s="103" t="s">
        <v>30</v>
      </c>
      <c r="H15" s="394" t="s">
        <v>31</v>
      </c>
      <c r="I15" s="395"/>
      <c r="J15" s="396" t="s">
        <v>32</v>
      </c>
      <c r="K15" s="397"/>
      <c r="L15" s="405" t="s">
        <v>33</v>
      </c>
      <c r="M15" s="406"/>
    </row>
    <row r="16" spans="1:13">
      <c r="A16" s="53"/>
      <c r="B16" s="104" t="s">
        <v>34</v>
      </c>
      <c r="C16" s="400" t="s">
        <v>35</v>
      </c>
      <c r="D16" s="401"/>
      <c r="E16" s="401"/>
      <c r="F16" s="402"/>
      <c r="G16" s="105" t="s">
        <v>16</v>
      </c>
      <c r="H16" s="403" t="s">
        <v>36</v>
      </c>
      <c r="I16" s="404"/>
      <c r="J16" s="398"/>
      <c r="K16" s="399"/>
      <c r="L16" s="407" t="s">
        <v>37</v>
      </c>
      <c r="M16" s="408"/>
    </row>
    <row r="17" spans="1:15">
      <c r="A17" s="53"/>
      <c r="B17" s="106"/>
      <c r="C17" s="292"/>
      <c r="D17" s="257"/>
      <c r="E17" s="258"/>
      <c r="F17" s="259"/>
      <c r="G17" s="181"/>
      <c r="H17" s="108" t="s">
        <v>38</v>
      </c>
      <c r="I17" s="108" t="s">
        <v>39</v>
      </c>
      <c r="J17" s="108" t="s">
        <v>38</v>
      </c>
      <c r="K17" s="108" t="s">
        <v>39</v>
      </c>
      <c r="L17" s="108" t="s">
        <v>38</v>
      </c>
      <c r="M17" s="109" t="s">
        <v>39</v>
      </c>
    </row>
    <row r="18" spans="1:15">
      <c r="A18" s="53"/>
      <c r="B18" s="254"/>
      <c r="C18" s="306"/>
      <c r="D18" s="327" t="s">
        <v>40</v>
      </c>
      <c r="E18" s="285" t="s">
        <v>41</v>
      </c>
      <c r="F18" s="306" t="s">
        <v>42</v>
      </c>
      <c r="G18" s="307"/>
      <c r="H18" s="179"/>
      <c r="I18" s="110"/>
      <c r="J18" s="111"/>
      <c r="K18" s="110"/>
      <c r="L18" s="111"/>
      <c r="M18" s="112"/>
    </row>
    <row r="19" spans="1:15" ht="32">
      <c r="A19" s="53"/>
      <c r="B19" s="296">
        <v>1</v>
      </c>
      <c r="C19" s="325" t="s">
        <v>133</v>
      </c>
      <c r="D19" s="328" t="s">
        <v>88</v>
      </c>
      <c r="E19" s="333">
        <v>1</v>
      </c>
      <c r="F19" s="331">
        <v>140000</v>
      </c>
      <c r="G19" s="312">
        <f t="shared" ref="G19:G21" si="0">+F19*E19</f>
        <v>140000</v>
      </c>
      <c r="H19" s="276">
        <v>1</v>
      </c>
      <c r="I19" s="277">
        <f t="shared" ref="I19:I21" si="1">H19*G19</f>
        <v>140000</v>
      </c>
      <c r="J19" s="276">
        <v>1</v>
      </c>
      <c r="K19" s="277">
        <f t="shared" ref="K19:K21" si="2">J19*G19</f>
        <v>140000</v>
      </c>
      <c r="L19" s="278">
        <f t="shared" ref="L19:L21" si="3">H19-J19</f>
        <v>0</v>
      </c>
      <c r="M19" s="279">
        <f t="shared" ref="M19:M21" si="4">L19*G19</f>
        <v>0</v>
      </c>
      <c r="O19" s="193"/>
    </row>
    <row r="20" spans="1:15" ht="16">
      <c r="A20" s="53"/>
      <c r="B20" s="296"/>
      <c r="C20" s="326" t="s">
        <v>131</v>
      </c>
      <c r="D20" s="328" t="s">
        <v>88</v>
      </c>
      <c r="E20" s="333">
        <v>1</v>
      </c>
      <c r="F20" s="331">
        <v>40000</v>
      </c>
      <c r="G20" s="312">
        <f t="shared" si="0"/>
        <v>40000</v>
      </c>
      <c r="H20" s="276">
        <v>1</v>
      </c>
      <c r="I20" s="277">
        <f t="shared" si="1"/>
        <v>40000</v>
      </c>
      <c r="J20" s="276">
        <v>1</v>
      </c>
      <c r="K20" s="277">
        <f t="shared" si="2"/>
        <v>40000</v>
      </c>
      <c r="L20" s="278">
        <f t="shared" si="3"/>
        <v>0</v>
      </c>
      <c r="M20" s="279">
        <f t="shared" si="4"/>
        <v>0</v>
      </c>
      <c r="O20" s="193"/>
    </row>
    <row r="21" spans="1:15" ht="16">
      <c r="A21" s="53"/>
      <c r="B21" s="296"/>
      <c r="C21" s="325" t="s">
        <v>132</v>
      </c>
      <c r="D21" s="328" t="s">
        <v>88</v>
      </c>
      <c r="E21" s="333">
        <v>1</v>
      </c>
      <c r="F21" s="331">
        <v>55000</v>
      </c>
      <c r="G21" s="312">
        <f t="shared" si="0"/>
        <v>55000</v>
      </c>
      <c r="H21" s="276">
        <v>1</v>
      </c>
      <c r="I21" s="277">
        <f t="shared" si="1"/>
        <v>55000</v>
      </c>
      <c r="J21" s="276">
        <v>1</v>
      </c>
      <c r="K21" s="277">
        <f t="shared" si="2"/>
        <v>55000</v>
      </c>
      <c r="L21" s="278">
        <f t="shared" si="3"/>
        <v>0</v>
      </c>
      <c r="M21" s="279">
        <f t="shared" si="4"/>
        <v>0</v>
      </c>
      <c r="O21" s="193"/>
    </row>
    <row r="22" spans="1:15">
      <c r="A22" s="53"/>
      <c r="B22" s="296"/>
      <c r="C22" s="325"/>
      <c r="D22" s="328"/>
      <c r="E22" s="333"/>
      <c r="F22" s="331"/>
      <c r="G22" s="312"/>
      <c r="H22" s="276"/>
      <c r="I22" s="277"/>
      <c r="J22" s="276"/>
      <c r="K22" s="277"/>
      <c r="L22" s="278"/>
      <c r="M22" s="279"/>
      <c r="O22" s="193"/>
    </row>
    <row r="23" spans="1:15" ht="16">
      <c r="A23" s="53"/>
      <c r="B23" s="296"/>
      <c r="C23" s="325" t="s">
        <v>155</v>
      </c>
      <c r="D23" s="328" t="s">
        <v>156</v>
      </c>
      <c r="E23" s="334">
        <v>1</v>
      </c>
      <c r="F23" s="331">
        <v>100000</v>
      </c>
      <c r="G23" s="312">
        <f t="shared" ref="G23" si="5">+F23*E23</f>
        <v>100000</v>
      </c>
      <c r="H23" s="276">
        <v>1</v>
      </c>
      <c r="I23" s="277">
        <f t="shared" ref="I23" si="6">H23*G23</f>
        <v>100000</v>
      </c>
      <c r="J23" s="276">
        <v>1</v>
      </c>
      <c r="K23" s="277">
        <f t="shared" ref="K23" si="7">J23*G23</f>
        <v>100000</v>
      </c>
      <c r="L23" s="278">
        <f t="shared" ref="L23" si="8">H23-J23</f>
        <v>0</v>
      </c>
      <c r="M23" s="279">
        <f t="shared" ref="M23" si="9">L23*G23</f>
        <v>0</v>
      </c>
      <c r="O23" s="193"/>
    </row>
    <row r="24" spans="1:15" ht="28.5" customHeight="1">
      <c r="A24" s="53"/>
      <c r="B24" s="297"/>
      <c r="C24" s="323" t="s">
        <v>157</v>
      </c>
      <c r="D24" s="328"/>
      <c r="E24" s="330"/>
      <c r="F24" s="311"/>
      <c r="G24" s="312"/>
      <c r="H24" s="276"/>
      <c r="I24" s="277"/>
      <c r="J24" s="276"/>
      <c r="K24" s="277"/>
      <c r="L24" s="278"/>
      <c r="M24" s="279"/>
      <c r="O24" s="193"/>
    </row>
    <row r="25" spans="1:15">
      <c r="A25" s="53"/>
      <c r="B25" s="297"/>
      <c r="C25" s="324"/>
      <c r="D25" s="328"/>
      <c r="E25" s="330"/>
      <c r="F25" s="314"/>
      <c r="G25" s="312"/>
      <c r="H25" s="276"/>
      <c r="I25" s="277"/>
      <c r="J25" s="276"/>
      <c r="K25" s="277"/>
      <c r="L25" s="278"/>
      <c r="M25" s="279"/>
      <c r="O25" s="193"/>
    </row>
    <row r="26" spans="1:15">
      <c r="A26" s="53"/>
      <c r="B26" s="297"/>
      <c r="C26" s="323"/>
      <c r="D26" s="328"/>
      <c r="E26" s="330"/>
      <c r="F26" s="314"/>
      <c r="G26" s="312"/>
      <c r="H26" s="276"/>
      <c r="I26" s="277"/>
      <c r="J26" s="276"/>
      <c r="K26" s="277"/>
      <c r="L26" s="278"/>
      <c r="M26" s="279"/>
      <c r="O26" s="193"/>
    </row>
    <row r="27" spans="1:15">
      <c r="A27" s="53"/>
      <c r="B27" s="297"/>
      <c r="C27" s="323"/>
      <c r="D27" s="328"/>
      <c r="E27" s="330"/>
      <c r="F27" s="314"/>
      <c r="G27" s="312"/>
      <c r="H27" s="276"/>
      <c r="I27" s="277"/>
      <c r="J27" s="276"/>
      <c r="K27" s="277"/>
      <c r="L27" s="278"/>
      <c r="M27" s="279"/>
      <c r="O27" s="193"/>
    </row>
    <row r="28" spans="1:15">
      <c r="A28" s="53"/>
      <c r="B28" s="297"/>
      <c r="C28" s="323"/>
      <c r="D28" s="328"/>
      <c r="E28" s="330"/>
      <c r="F28" s="314"/>
      <c r="G28" s="312"/>
      <c r="H28" s="276"/>
      <c r="I28" s="277"/>
      <c r="J28" s="276"/>
      <c r="K28" s="277"/>
      <c r="L28" s="278"/>
      <c r="M28" s="279"/>
      <c r="O28" s="193"/>
    </row>
    <row r="29" spans="1:15">
      <c r="A29" s="53"/>
      <c r="B29" s="297"/>
      <c r="C29" s="323"/>
      <c r="D29" s="328"/>
      <c r="E29" s="330"/>
      <c r="F29" s="314"/>
      <c r="G29" s="312"/>
      <c r="H29" s="276"/>
      <c r="I29" s="277"/>
      <c r="J29" s="276"/>
      <c r="K29" s="277"/>
      <c r="L29" s="278"/>
      <c r="M29" s="279"/>
      <c r="O29" s="193"/>
    </row>
    <row r="30" spans="1:15">
      <c r="A30" s="53"/>
      <c r="B30" s="297"/>
      <c r="C30" s="323"/>
      <c r="D30" s="328"/>
      <c r="E30" s="330"/>
      <c r="F30" s="314"/>
      <c r="G30" s="312"/>
      <c r="H30" s="276"/>
      <c r="I30" s="277"/>
      <c r="J30" s="276"/>
      <c r="K30" s="277"/>
      <c r="L30" s="278"/>
      <c r="M30" s="279"/>
      <c r="O30" s="193"/>
    </row>
    <row r="31" spans="1:15">
      <c r="A31" s="53"/>
      <c r="B31" s="297"/>
      <c r="C31" s="316"/>
      <c r="D31" s="328"/>
      <c r="E31" s="266"/>
      <c r="F31" s="316"/>
      <c r="G31" s="312"/>
      <c r="H31" s="276"/>
      <c r="I31" s="277"/>
      <c r="J31" s="276"/>
      <c r="K31" s="277"/>
      <c r="L31" s="278"/>
      <c r="M31" s="279"/>
      <c r="O31" s="193"/>
    </row>
    <row r="32" spans="1:15">
      <c r="A32" s="53"/>
      <c r="B32" s="297"/>
      <c r="C32" s="319"/>
      <c r="D32" s="329"/>
      <c r="E32" s="288"/>
      <c r="F32" s="319"/>
      <c r="G32" s="322"/>
      <c r="H32" s="276"/>
      <c r="I32" s="277"/>
      <c r="J32" s="276"/>
      <c r="K32" s="277"/>
      <c r="L32" s="278"/>
      <c r="M32" s="279"/>
      <c r="O32" s="193"/>
    </row>
    <row r="33" spans="1:15">
      <c r="A33" s="53"/>
      <c r="B33" s="297"/>
      <c r="C33" s="319"/>
      <c r="D33" s="329"/>
      <c r="E33" s="288"/>
      <c r="F33" s="319"/>
      <c r="G33" s="322"/>
      <c r="H33" s="276"/>
      <c r="I33" s="277"/>
      <c r="J33" s="276"/>
      <c r="K33" s="277"/>
      <c r="L33" s="278"/>
      <c r="M33" s="279"/>
      <c r="O33" s="193"/>
    </row>
    <row r="34" spans="1:15">
      <c r="A34" s="53"/>
      <c r="B34" s="297"/>
      <c r="C34" s="316"/>
      <c r="D34" s="328"/>
      <c r="E34" s="266"/>
      <c r="F34" s="316"/>
      <c r="G34" s="312"/>
      <c r="H34" s="276"/>
      <c r="I34" s="277"/>
      <c r="J34" s="276"/>
      <c r="K34" s="277"/>
      <c r="L34" s="278"/>
      <c r="M34" s="279"/>
      <c r="O34" s="193"/>
    </row>
    <row r="35" spans="1:15">
      <c r="A35" s="53"/>
      <c r="B35" s="297"/>
      <c r="C35" s="316"/>
      <c r="D35" s="328"/>
      <c r="E35" s="266"/>
      <c r="F35" s="316"/>
      <c r="G35" s="312"/>
      <c r="H35" s="276"/>
      <c r="I35" s="277"/>
      <c r="J35" s="276"/>
      <c r="K35" s="277"/>
      <c r="L35" s="278"/>
      <c r="M35" s="279"/>
      <c r="O35" s="193"/>
    </row>
    <row r="36" spans="1:15">
      <c r="A36" s="53"/>
      <c r="B36" s="297"/>
      <c r="C36" s="316"/>
      <c r="D36" s="328"/>
      <c r="E36" s="266"/>
      <c r="F36" s="316"/>
      <c r="G36" s="312"/>
      <c r="H36" s="276"/>
      <c r="I36" s="277"/>
      <c r="J36" s="276"/>
      <c r="K36" s="277"/>
      <c r="L36" s="278"/>
      <c r="M36" s="279"/>
      <c r="O36" s="193"/>
    </row>
    <row r="37" spans="1:15">
      <c r="A37" s="53"/>
      <c r="B37" s="297"/>
      <c r="C37" s="316"/>
      <c r="D37" s="328"/>
      <c r="E37" s="266"/>
      <c r="F37" s="316"/>
      <c r="G37" s="312"/>
      <c r="H37" s="276"/>
      <c r="I37" s="277"/>
      <c r="J37" s="276"/>
      <c r="K37" s="277"/>
      <c r="L37" s="278"/>
      <c r="M37" s="279"/>
      <c r="O37" s="193"/>
    </row>
    <row r="38" spans="1:15">
      <c r="A38" s="53"/>
      <c r="B38" s="297"/>
      <c r="C38" s="316"/>
      <c r="D38" s="328"/>
      <c r="E38" s="266"/>
      <c r="F38" s="316"/>
      <c r="G38" s="312"/>
      <c r="H38" s="276"/>
      <c r="I38" s="277"/>
      <c r="J38" s="276"/>
      <c r="K38" s="277"/>
      <c r="L38" s="278"/>
      <c r="M38" s="279"/>
      <c r="O38" s="193"/>
    </row>
    <row r="39" spans="1:15">
      <c r="A39" s="53"/>
      <c r="B39" s="297"/>
      <c r="C39" s="316"/>
      <c r="D39" s="328"/>
      <c r="E39" s="266"/>
      <c r="F39" s="316"/>
      <c r="G39" s="317"/>
      <c r="H39" s="276"/>
      <c r="I39" s="277"/>
      <c r="J39" s="276"/>
      <c r="K39" s="277"/>
      <c r="L39" s="278"/>
      <c r="M39" s="279"/>
      <c r="O39" s="193"/>
    </row>
    <row r="40" spans="1:15">
      <c r="A40" s="53"/>
      <c r="B40" s="297"/>
      <c r="C40" s="319"/>
      <c r="D40" s="328"/>
      <c r="E40" s="288"/>
      <c r="F40" s="319"/>
      <c r="G40" s="320"/>
      <c r="H40" s="276"/>
      <c r="I40" s="277"/>
      <c r="J40" s="276"/>
      <c r="K40" s="277"/>
      <c r="L40" s="278"/>
      <c r="M40" s="279"/>
      <c r="O40" s="193"/>
    </row>
    <row r="41" spans="1:15">
      <c r="A41" s="53"/>
      <c r="B41" s="297"/>
      <c r="C41" s="182"/>
      <c r="D41" s="298"/>
      <c r="E41" s="266"/>
      <c r="F41" s="316"/>
      <c r="G41" s="255"/>
      <c r="H41" s="180"/>
      <c r="I41" s="114"/>
      <c r="J41" s="180"/>
      <c r="K41" s="114"/>
      <c r="L41" s="113"/>
      <c r="M41" s="115"/>
      <c r="O41" s="193"/>
    </row>
    <row r="42" spans="1:15">
      <c r="A42" s="53"/>
      <c r="B42" s="254"/>
      <c r="C42" s="262"/>
      <c r="D42" s="302"/>
      <c r="E42" s="264"/>
      <c r="F42" s="332"/>
      <c r="G42" s="295"/>
      <c r="H42" s="180"/>
      <c r="I42" s="114"/>
      <c r="J42" s="180"/>
      <c r="K42" s="114"/>
      <c r="L42" s="113"/>
      <c r="M42" s="115"/>
      <c r="O42" s="193"/>
    </row>
    <row r="43" spans="1:15">
      <c r="A43" s="53"/>
      <c r="B43" s="117"/>
      <c r="C43" s="293" t="s">
        <v>43</v>
      </c>
      <c r="D43" s="77"/>
      <c r="E43" s="258"/>
      <c r="F43" s="260"/>
      <c r="G43" s="114">
        <f>SUM(G18:G42)</f>
        <v>335000</v>
      </c>
      <c r="H43" s="121"/>
      <c r="I43" s="120">
        <f>SUM(I18:I42)</f>
        <v>335000</v>
      </c>
      <c r="J43" s="122"/>
      <c r="K43" s="120">
        <f>SUM(K18:K42)</f>
        <v>335000</v>
      </c>
      <c r="L43" s="123"/>
      <c r="M43" s="124">
        <f>SUM(M18:M42)</f>
        <v>0</v>
      </c>
    </row>
    <row r="44" spans="1:15">
      <c r="A44" s="53"/>
      <c r="B44" s="202"/>
      <c r="C44" s="203" t="s">
        <v>44</v>
      </c>
      <c r="D44" s="204"/>
      <c r="E44" s="247"/>
      <c r="F44" s="205"/>
      <c r="G44" s="206"/>
      <c r="H44" s="207"/>
      <c r="I44" s="208">
        <f>I43*F44</f>
        <v>0</v>
      </c>
      <c r="J44" s="209"/>
      <c r="K44" s="208">
        <f>K43*F44</f>
        <v>0</v>
      </c>
      <c r="L44" s="210"/>
      <c r="M44" s="211">
        <f>M43*F44</f>
        <v>0</v>
      </c>
      <c r="O44" s="193"/>
    </row>
    <row r="45" spans="1:15">
      <c r="A45" s="53"/>
      <c r="B45" s="223"/>
      <c r="C45" s="224" t="s">
        <v>58</v>
      </c>
      <c r="D45" s="225"/>
      <c r="E45" s="248"/>
      <c r="F45" s="226"/>
      <c r="G45" s="227">
        <v>0</v>
      </c>
      <c r="H45" s="228">
        <v>0</v>
      </c>
      <c r="I45" s="114">
        <f>H45*G45</f>
        <v>0</v>
      </c>
      <c r="J45" s="113">
        <v>0</v>
      </c>
      <c r="K45" s="114">
        <f>G45*J45</f>
        <v>0</v>
      </c>
      <c r="L45" s="113">
        <f>H45-J45</f>
        <v>0</v>
      </c>
      <c r="M45" s="115">
        <f>L45*G45</f>
        <v>0</v>
      </c>
    </row>
    <row r="46" spans="1:15">
      <c r="A46" s="126"/>
      <c r="B46" s="127"/>
      <c r="C46" s="128" t="s">
        <v>45</v>
      </c>
      <c r="D46" s="129"/>
      <c r="E46" s="249"/>
      <c r="F46" s="130"/>
      <c r="G46" s="131">
        <f>G43-G44+G45</f>
        <v>335000</v>
      </c>
      <c r="H46" s="4" t="s">
        <v>46</v>
      </c>
      <c r="I46" s="134">
        <f>+I43-I44</f>
        <v>335000</v>
      </c>
      <c r="J46" s="132"/>
      <c r="K46" s="134">
        <f>+K43-K44</f>
        <v>335000</v>
      </c>
      <c r="L46" s="133"/>
      <c r="M46" s="134">
        <f>+M43-M44</f>
        <v>0</v>
      </c>
    </row>
    <row r="47" spans="1:15">
      <c r="A47" s="53"/>
      <c r="B47" s="117"/>
      <c r="C47" s="118" t="s">
        <v>47</v>
      </c>
      <c r="D47" s="55"/>
      <c r="E47" s="245"/>
      <c r="F47" s="119"/>
      <c r="G47" s="120">
        <f>G46*19%</f>
        <v>63650</v>
      </c>
      <c r="H47" s="121"/>
      <c r="I47" s="120">
        <f>I46*19%</f>
        <v>63650</v>
      </c>
      <c r="J47" s="122"/>
      <c r="K47" s="120">
        <f>K46*19%</f>
        <v>63650</v>
      </c>
      <c r="L47" s="123"/>
      <c r="M47" s="120">
        <f>+M46*0.19</f>
        <v>0</v>
      </c>
      <c r="O47" s="193"/>
    </row>
    <row r="48" spans="1:15">
      <c r="A48" s="53"/>
      <c r="B48" s="125"/>
      <c r="C48" s="135" t="s">
        <v>48</v>
      </c>
      <c r="D48" s="60"/>
      <c r="E48" s="246"/>
      <c r="F48" s="116"/>
      <c r="G48" s="136">
        <f>SUM(G46:G47)</f>
        <v>398650</v>
      </c>
      <c r="H48" s="137"/>
      <c r="I48" s="136">
        <f>SUM(I46:I47)</f>
        <v>398650</v>
      </c>
      <c r="J48" s="138"/>
      <c r="K48" s="136">
        <f>SUM(K46:K47)</f>
        <v>398650</v>
      </c>
      <c r="L48" s="139"/>
      <c r="M48" s="136">
        <f>SUM(M46:M47)</f>
        <v>0</v>
      </c>
    </row>
    <row r="49" spans="1:15">
      <c r="A49" s="53"/>
      <c r="B49" s="117"/>
      <c r="C49" s="67"/>
      <c r="D49" s="67"/>
      <c r="E49" s="250"/>
      <c r="F49" s="140"/>
      <c r="G49" s="68"/>
      <c r="H49" s="141"/>
      <c r="I49" s="142"/>
      <c r="J49" s="143"/>
      <c r="K49" s="142"/>
      <c r="L49" s="144"/>
      <c r="M49" s="145"/>
      <c r="O49" s="193"/>
    </row>
    <row r="50" spans="1:15">
      <c r="A50" s="53"/>
      <c r="B50" s="146"/>
      <c r="C50" s="147"/>
      <c r="D50" s="147"/>
      <c r="E50" s="230"/>
      <c r="F50" s="148"/>
      <c r="G50" s="149"/>
      <c r="H50" s="150"/>
      <c r="I50" s="151"/>
      <c r="J50" s="152"/>
      <c r="K50" s="151"/>
      <c r="L50" s="153"/>
      <c r="M50" s="154"/>
    </row>
    <row r="51" spans="1:15">
      <c r="A51" s="53"/>
      <c r="B51" s="146"/>
      <c r="C51" s="147"/>
      <c r="D51" s="147"/>
      <c r="E51" s="230"/>
      <c r="F51" s="148"/>
      <c r="G51" s="149"/>
      <c r="H51" s="150"/>
      <c r="I51" s="151"/>
      <c r="J51" s="152"/>
      <c r="K51" s="151"/>
      <c r="L51" s="153"/>
      <c r="M51" s="154"/>
    </row>
    <row r="52" spans="1:15">
      <c r="A52" s="53"/>
      <c r="B52" s="155"/>
      <c r="C52" s="147"/>
      <c r="D52" s="147"/>
      <c r="E52" s="230"/>
      <c r="F52" s="147"/>
      <c r="G52" s="147"/>
      <c r="H52" s="156"/>
      <c r="I52" s="157"/>
      <c r="J52" s="158"/>
      <c r="K52" s="159"/>
      <c r="L52" s="158"/>
      <c r="M52" s="160"/>
    </row>
    <row r="53" spans="1:15">
      <c r="A53" s="53"/>
      <c r="B53" s="161"/>
      <c r="C53" s="77"/>
      <c r="D53" s="77"/>
      <c r="E53" s="251"/>
      <c r="F53" s="77"/>
      <c r="G53" s="162"/>
      <c r="H53" s="78"/>
      <c r="I53" s="77"/>
      <c r="J53" s="78"/>
      <c r="K53" s="77"/>
      <c r="L53" s="77"/>
      <c r="M53" s="163"/>
    </row>
    <row r="54" spans="1:15">
      <c r="A54" s="53"/>
      <c r="B54" s="155"/>
      <c r="C54" s="376"/>
      <c r="D54" s="377"/>
      <c r="E54" s="377"/>
      <c r="F54" s="378"/>
      <c r="G54" s="379"/>
      <c r="H54" s="380"/>
      <c r="I54" s="380"/>
      <c r="J54" s="381"/>
      <c r="K54" s="77"/>
      <c r="L54" s="77"/>
      <c r="M54" s="163"/>
    </row>
    <row r="55" spans="1:15">
      <c r="A55" s="53"/>
      <c r="B55" s="59"/>
      <c r="C55" s="60"/>
      <c r="D55" s="60"/>
      <c r="E55" s="239"/>
      <c r="F55" s="60"/>
      <c r="G55" s="61"/>
      <c r="H55" s="62"/>
      <c r="I55" s="60"/>
      <c r="J55" s="62"/>
      <c r="K55" s="60"/>
      <c r="L55" s="60"/>
      <c r="M55" s="164"/>
    </row>
    <row r="56" spans="1:15">
      <c r="A56" s="53"/>
      <c r="B56" s="165"/>
      <c r="C56" s="382"/>
      <c r="D56" s="383"/>
      <c r="E56" s="383"/>
      <c r="F56" s="383"/>
      <c r="G56" s="384"/>
      <c r="H56" s="385" t="s">
        <v>49</v>
      </c>
      <c r="I56" s="386"/>
      <c r="J56" s="386"/>
      <c r="K56" s="386"/>
      <c r="L56" s="386"/>
      <c r="M56" s="387"/>
    </row>
    <row r="57" spans="1:15">
      <c r="A57" s="53"/>
      <c r="B57" s="161"/>
      <c r="C57" s="77"/>
      <c r="D57" s="77"/>
      <c r="E57" s="251"/>
      <c r="F57" s="77"/>
      <c r="G57" s="162"/>
      <c r="H57" s="78"/>
      <c r="I57" s="77"/>
      <c r="J57" s="78"/>
      <c r="K57" s="77"/>
      <c r="L57" s="77"/>
      <c r="M57" s="163"/>
    </row>
    <row r="58" spans="1:15" ht="16" thickBot="1">
      <c r="A58" s="53"/>
      <c r="B58" s="166"/>
      <c r="C58" s="167"/>
      <c r="D58" s="167"/>
      <c r="E58" s="252"/>
      <c r="F58" s="167"/>
      <c r="G58" s="168"/>
      <c r="H58" s="169"/>
      <c r="I58" s="167"/>
      <c r="J58" s="169"/>
      <c r="K58" s="167"/>
      <c r="L58" s="167"/>
      <c r="M58" s="170"/>
    </row>
    <row r="60" spans="1:15">
      <c r="G60" s="229"/>
    </row>
  </sheetData>
  <mergeCells count="12">
    <mergeCell ref="C54:F54"/>
    <mergeCell ref="G54:J54"/>
    <mergeCell ref="C56:G56"/>
    <mergeCell ref="H56:M56"/>
    <mergeCell ref="B3:M3"/>
    <mergeCell ref="B12:M12"/>
    <mergeCell ref="H15:I15"/>
    <mergeCell ref="J15:K16"/>
    <mergeCell ref="L15:M15"/>
    <mergeCell ref="C16:F16"/>
    <mergeCell ref="H16:I16"/>
    <mergeCell ref="L16:M16"/>
  </mergeCells>
  <pageMargins left="0.70000000000000007" right="0.70000000000000007" top="0.75000000000000011" bottom="0.75000000000000011" header="0.30000000000000004" footer="0.30000000000000004"/>
  <pageSetup scale="32" orientation="landscape" horizontalDpi="4294967292" verticalDpi="4294967292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BE2099-0412-41FD-8CC8-F276B4836866}">
  <sheetPr>
    <tabColor theme="0" tint="-0.499984740745262"/>
    <pageSetUpPr fitToPage="1"/>
  </sheetPr>
  <dimension ref="A1:O60"/>
  <sheetViews>
    <sheetView topLeftCell="A13" zoomScale="70" zoomScaleNormal="70" zoomScalePageLayoutView="70" workbookViewId="0">
      <selection activeCell="J19" sqref="J19:J22"/>
    </sheetView>
  </sheetViews>
  <sheetFormatPr baseColWidth="10" defaultRowHeight="15"/>
  <cols>
    <col min="1" max="1" width="4.33203125" style="51" customWidth="1"/>
    <col min="2" max="2" width="16.5" style="51" customWidth="1"/>
    <col min="3" max="3" width="55.1640625" style="51" customWidth="1"/>
    <col min="4" max="4" width="20.5" style="51" customWidth="1"/>
    <col min="5" max="5" width="21" style="253" customWidth="1"/>
    <col min="6" max="6" width="16" style="51" customWidth="1"/>
    <col min="7" max="7" width="19.5" style="51" customWidth="1"/>
    <col min="8" max="8" width="12.33203125" style="51" customWidth="1"/>
    <col min="9" max="9" width="18.83203125" style="51" customWidth="1"/>
    <col min="10" max="10" width="12.5" style="51" customWidth="1"/>
    <col min="11" max="11" width="19.83203125" style="51" customWidth="1"/>
    <col min="12" max="12" width="13.6640625" style="51" customWidth="1"/>
    <col min="13" max="13" width="23.1640625" style="51" customWidth="1"/>
    <col min="15" max="15" width="19" customWidth="1"/>
  </cols>
  <sheetData>
    <row r="1" spans="1:13">
      <c r="A1" s="1"/>
      <c r="B1" s="1"/>
      <c r="C1" s="1"/>
      <c r="D1" s="1"/>
      <c r="E1" s="236"/>
      <c r="F1" s="1"/>
      <c r="G1" s="1"/>
      <c r="H1" s="1"/>
      <c r="I1" s="1"/>
      <c r="J1" s="1"/>
      <c r="K1" s="1"/>
      <c r="L1" s="1"/>
      <c r="M1" s="1"/>
    </row>
    <row r="2" spans="1:13" ht="16" thickBot="1">
      <c r="A2" s="1"/>
      <c r="B2" s="52"/>
      <c r="C2" s="52"/>
      <c r="D2" s="52"/>
      <c r="E2" s="237"/>
      <c r="F2" s="52"/>
      <c r="G2" s="52"/>
      <c r="H2" s="52"/>
      <c r="I2" s="52"/>
      <c r="J2" s="52"/>
      <c r="K2" s="52"/>
      <c r="L2" s="52"/>
      <c r="M2" s="52"/>
    </row>
    <row r="3" spans="1:13" ht="21">
      <c r="A3" s="53"/>
      <c r="B3" s="388" t="s">
        <v>50</v>
      </c>
      <c r="C3" s="389"/>
      <c r="D3" s="389"/>
      <c r="E3" s="389"/>
      <c r="F3" s="389"/>
      <c r="G3" s="389"/>
      <c r="H3" s="389"/>
      <c r="I3" s="389"/>
      <c r="J3" s="389"/>
      <c r="K3" s="389"/>
      <c r="L3" s="389"/>
      <c r="M3" s="390"/>
    </row>
    <row r="4" spans="1:13">
      <c r="A4" s="53"/>
      <c r="B4" s="54"/>
      <c r="C4" s="55"/>
      <c r="D4" s="55"/>
      <c r="E4" s="238"/>
      <c r="F4" s="55"/>
      <c r="G4" s="56"/>
      <c r="H4" s="57"/>
      <c r="I4" s="55"/>
      <c r="J4" s="57"/>
      <c r="K4" s="55"/>
      <c r="L4" s="55"/>
      <c r="M4" s="58"/>
    </row>
    <row r="5" spans="1:13">
      <c r="A5" s="53"/>
      <c r="B5" s="59"/>
      <c r="C5" s="60"/>
      <c r="D5" s="60"/>
      <c r="E5" s="239"/>
      <c r="F5" s="60"/>
      <c r="G5" s="61"/>
      <c r="H5" s="62"/>
      <c r="I5" s="60"/>
      <c r="J5" s="62"/>
      <c r="K5" s="60"/>
      <c r="L5" s="60"/>
      <c r="M5" s="63" t="str">
        <f>+RESUMEN!D19</f>
        <v>CORREDORA LUZ MARIA CORREA</v>
      </c>
    </row>
    <row r="6" spans="1:13" ht="16">
      <c r="A6" s="53"/>
      <c r="B6" s="64" t="s">
        <v>23</v>
      </c>
      <c r="C6" s="65" t="str">
        <f>+RESUMEN!C9</f>
        <v>REMODELACION BAÑOS SHC LA CALERA</v>
      </c>
      <c r="D6" s="66"/>
      <c r="E6" s="240"/>
      <c r="F6" s="67"/>
      <c r="G6" s="68"/>
      <c r="H6" s="69"/>
      <c r="I6" s="67"/>
      <c r="J6" s="69"/>
      <c r="K6" s="67"/>
      <c r="L6" s="67"/>
      <c r="M6" s="70"/>
    </row>
    <row r="7" spans="1:13" ht="16">
      <c r="A7" s="53"/>
      <c r="B7" s="71" t="s">
        <v>24</v>
      </c>
      <c r="C7" s="72" t="str">
        <f>+RESUMEN!C10</f>
        <v>MALL OPEN PLAZA LA CALERA</v>
      </c>
      <c r="D7" s="73"/>
      <c r="E7" s="241"/>
      <c r="F7" s="74"/>
      <c r="G7" s="75"/>
      <c r="H7" s="76"/>
      <c r="I7" s="77"/>
      <c r="J7" s="78"/>
      <c r="K7" s="74"/>
      <c r="L7" s="74"/>
      <c r="M7" s="79" t="s">
        <v>25</v>
      </c>
    </row>
    <row r="8" spans="1:13" ht="16">
      <c r="A8" s="53"/>
      <c r="B8" s="71" t="s">
        <v>19</v>
      </c>
      <c r="C8" s="171" t="str">
        <f>+RESUMEN!B20</f>
        <v>DPTO 752 CONDOMINIO RAVELLO</v>
      </c>
      <c r="D8" s="73"/>
      <c r="E8" s="241"/>
      <c r="F8" s="74"/>
      <c r="G8" s="75"/>
      <c r="H8" s="76"/>
      <c r="I8" s="74"/>
      <c r="J8" s="76"/>
      <c r="K8" s="74"/>
      <c r="L8" s="74"/>
      <c r="M8" s="80" t="str">
        <f>+RESUMEN!I15</f>
        <v>EEPP#06</v>
      </c>
    </row>
    <row r="9" spans="1:13" ht="16">
      <c r="A9" s="53"/>
      <c r="B9" s="71" t="s">
        <v>26</v>
      </c>
      <c r="C9" s="72"/>
      <c r="D9" s="73"/>
      <c r="E9" s="242"/>
      <c r="F9" s="73"/>
      <c r="G9" s="75"/>
      <c r="H9" s="76"/>
      <c r="I9" s="74"/>
      <c r="J9" s="76"/>
      <c r="K9" s="74"/>
      <c r="L9" s="74"/>
      <c r="M9" s="81"/>
    </row>
    <row r="10" spans="1:13" ht="16">
      <c r="A10" s="53"/>
      <c r="B10" s="82" t="s">
        <v>27</v>
      </c>
      <c r="C10" s="83" t="str">
        <f>+RESUMEN!C20</f>
        <v>11.520.369-K</v>
      </c>
      <c r="D10" s="84"/>
      <c r="E10" s="243"/>
      <c r="F10" s="85"/>
      <c r="G10" s="86"/>
      <c r="H10" s="87"/>
      <c r="I10" s="85"/>
      <c r="J10" s="87"/>
      <c r="K10" s="85"/>
      <c r="L10" s="85"/>
      <c r="M10" s="88"/>
    </row>
    <row r="11" spans="1:13" ht="16">
      <c r="A11" s="53"/>
      <c r="B11" s="82" t="s">
        <v>52</v>
      </c>
      <c r="C11" s="201"/>
      <c r="D11" s="84"/>
      <c r="E11" s="243"/>
      <c r="F11" s="85"/>
      <c r="G11" s="86"/>
      <c r="H11" s="87"/>
      <c r="I11" s="85"/>
      <c r="J11" s="87"/>
      <c r="K11" s="85"/>
      <c r="L11" s="85"/>
      <c r="M11" s="88"/>
    </row>
    <row r="12" spans="1:13">
      <c r="A12" s="53"/>
      <c r="B12" s="391"/>
      <c r="C12" s="392"/>
      <c r="D12" s="392"/>
      <c r="E12" s="392"/>
      <c r="F12" s="392"/>
      <c r="G12" s="392"/>
      <c r="H12" s="392"/>
      <c r="I12" s="392"/>
      <c r="J12" s="392"/>
      <c r="K12" s="392"/>
      <c r="L12" s="392"/>
      <c r="M12" s="393"/>
    </row>
    <row r="13" spans="1:13" ht="16">
      <c r="A13" s="53"/>
      <c r="B13" s="89" t="s">
        <v>28</v>
      </c>
      <c r="C13" s="90"/>
      <c r="D13" s="90"/>
      <c r="E13" s="91">
        <f>G43</f>
        <v>1230000</v>
      </c>
      <c r="F13" s="92"/>
      <c r="G13" s="93"/>
      <c r="H13" s="94"/>
      <c r="I13" s="92"/>
      <c r="J13" s="94"/>
      <c r="K13" s="92"/>
      <c r="L13" s="95" t="s">
        <v>29</v>
      </c>
      <c r="M13" s="96">
        <f>+RESUMEN!I17</f>
        <v>45947</v>
      </c>
    </row>
    <row r="14" spans="1:13">
      <c r="A14" s="53"/>
      <c r="B14" s="97"/>
      <c r="C14" s="92"/>
      <c r="D14" s="92"/>
      <c r="E14" s="244"/>
      <c r="F14" s="92"/>
      <c r="G14" s="93"/>
      <c r="H14" s="94"/>
      <c r="I14" s="92"/>
      <c r="J14" s="94"/>
      <c r="K14" s="92"/>
      <c r="L14" s="92"/>
      <c r="M14" s="98"/>
    </row>
    <row r="15" spans="1:13">
      <c r="A15" s="53"/>
      <c r="B15" s="99"/>
      <c r="C15" s="100"/>
      <c r="D15" s="101"/>
      <c r="E15" s="245"/>
      <c r="F15" s="102"/>
      <c r="G15" s="103" t="s">
        <v>30</v>
      </c>
      <c r="H15" s="394" t="s">
        <v>31</v>
      </c>
      <c r="I15" s="395"/>
      <c r="J15" s="396" t="s">
        <v>32</v>
      </c>
      <c r="K15" s="397"/>
      <c r="L15" s="405" t="s">
        <v>33</v>
      </c>
      <c r="M15" s="406"/>
    </row>
    <row r="16" spans="1:13">
      <c r="A16" s="53"/>
      <c r="B16" s="104" t="s">
        <v>34</v>
      </c>
      <c r="C16" s="400" t="s">
        <v>35</v>
      </c>
      <c r="D16" s="401"/>
      <c r="E16" s="401"/>
      <c r="F16" s="402"/>
      <c r="G16" s="105" t="s">
        <v>16</v>
      </c>
      <c r="H16" s="403" t="s">
        <v>36</v>
      </c>
      <c r="I16" s="404"/>
      <c r="J16" s="398"/>
      <c r="K16" s="399"/>
      <c r="L16" s="407" t="s">
        <v>37</v>
      </c>
      <c r="M16" s="408"/>
    </row>
    <row r="17" spans="1:15">
      <c r="A17" s="53"/>
      <c r="B17" s="106"/>
      <c r="C17" s="292"/>
      <c r="D17" s="257"/>
      <c r="E17" s="258"/>
      <c r="F17" s="259"/>
      <c r="G17" s="181"/>
      <c r="H17" s="108" t="s">
        <v>38</v>
      </c>
      <c r="I17" s="108" t="s">
        <v>39</v>
      </c>
      <c r="J17" s="108" t="s">
        <v>38</v>
      </c>
      <c r="K17" s="108" t="s">
        <v>39</v>
      </c>
      <c r="L17" s="108" t="s">
        <v>38</v>
      </c>
      <c r="M17" s="109" t="s">
        <v>39</v>
      </c>
    </row>
    <row r="18" spans="1:15">
      <c r="A18" s="53"/>
      <c r="B18" s="254"/>
      <c r="C18" s="306"/>
      <c r="D18" s="327" t="s">
        <v>40</v>
      </c>
      <c r="E18" s="285" t="s">
        <v>41</v>
      </c>
      <c r="F18" s="306" t="s">
        <v>42</v>
      </c>
      <c r="G18" s="307"/>
      <c r="H18" s="179"/>
      <c r="I18" s="110"/>
      <c r="J18" s="111"/>
      <c r="K18" s="110"/>
      <c r="L18" s="111"/>
      <c r="M18" s="112"/>
    </row>
    <row r="19" spans="1:15" ht="16">
      <c r="A19" s="53"/>
      <c r="B19" s="296">
        <v>1</v>
      </c>
      <c r="C19" s="325" t="s">
        <v>137</v>
      </c>
      <c r="D19" s="328" t="s">
        <v>88</v>
      </c>
      <c r="E19" s="333">
        <v>2</v>
      </c>
      <c r="F19" s="331">
        <v>100000</v>
      </c>
      <c r="G19" s="312">
        <f t="shared" ref="G19:G21" si="0">+F19*E19</f>
        <v>200000</v>
      </c>
      <c r="H19" s="276">
        <v>1</v>
      </c>
      <c r="I19" s="277">
        <f t="shared" ref="I19:I21" si="1">H19*G19</f>
        <v>200000</v>
      </c>
      <c r="J19" s="276">
        <v>1</v>
      </c>
      <c r="K19" s="277">
        <f t="shared" ref="K19:K21" si="2">J19*G19</f>
        <v>200000</v>
      </c>
      <c r="L19" s="278">
        <f t="shared" ref="L19:L21" si="3">H19-J19</f>
        <v>0</v>
      </c>
      <c r="M19" s="279">
        <f t="shared" ref="M19:M21" si="4">L19*G19</f>
        <v>0</v>
      </c>
      <c r="O19" s="193"/>
    </row>
    <row r="20" spans="1:15" ht="16">
      <c r="A20" s="53"/>
      <c r="B20" s="296"/>
      <c r="C20" s="326" t="s">
        <v>138</v>
      </c>
      <c r="D20" s="328" t="s">
        <v>88</v>
      </c>
      <c r="E20" s="333">
        <v>2</v>
      </c>
      <c r="F20" s="331">
        <v>325000</v>
      </c>
      <c r="G20" s="312">
        <f t="shared" si="0"/>
        <v>650000</v>
      </c>
      <c r="H20" s="276">
        <v>1</v>
      </c>
      <c r="I20" s="277">
        <f t="shared" si="1"/>
        <v>650000</v>
      </c>
      <c r="J20" s="276">
        <v>1</v>
      </c>
      <c r="K20" s="277">
        <f t="shared" si="2"/>
        <v>650000</v>
      </c>
      <c r="L20" s="278">
        <f t="shared" si="3"/>
        <v>0</v>
      </c>
      <c r="M20" s="279">
        <f t="shared" si="4"/>
        <v>0</v>
      </c>
      <c r="O20" s="193"/>
    </row>
    <row r="21" spans="1:15" ht="16">
      <c r="A21" s="53"/>
      <c r="B21" s="296"/>
      <c r="C21" s="325" t="s">
        <v>139</v>
      </c>
      <c r="D21" s="328" t="s">
        <v>88</v>
      </c>
      <c r="E21" s="333">
        <v>2</v>
      </c>
      <c r="F21" s="331">
        <v>15000</v>
      </c>
      <c r="G21" s="312">
        <f t="shared" si="0"/>
        <v>30000</v>
      </c>
      <c r="H21" s="276">
        <v>1</v>
      </c>
      <c r="I21" s="277">
        <f t="shared" si="1"/>
        <v>30000</v>
      </c>
      <c r="J21" s="276">
        <v>1</v>
      </c>
      <c r="K21" s="277">
        <f t="shared" si="2"/>
        <v>30000</v>
      </c>
      <c r="L21" s="278">
        <f t="shared" si="3"/>
        <v>0</v>
      </c>
      <c r="M21" s="279">
        <f t="shared" si="4"/>
        <v>0</v>
      </c>
      <c r="O21" s="193"/>
    </row>
    <row r="22" spans="1:15" ht="16">
      <c r="A22" s="53"/>
      <c r="B22" s="296"/>
      <c r="C22" s="325" t="s">
        <v>140</v>
      </c>
      <c r="D22" s="328" t="s">
        <v>88</v>
      </c>
      <c r="E22" s="333">
        <v>2</v>
      </c>
      <c r="F22" s="331">
        <v>175000</v>
      </c>
      <c r="G22" s="312">
        <f t="shared" ref="G22" si="5">+F22*E22</f>
        <v>350000</v>
      </c>
      <c r="H22" s="276">
        <v>1</v>
      </c>
      <c r="I22" s="277">
        <f t="shared" ref="I22" si="6">H22*G22</f>
        <v>350000</v>
      </c>
      <c r="J22" s="276">
        <v>1</v>
      </c>
      <c r="K22" s="277">
        <f t="shared" ref="K22" si="7">J22*G22</f>
        <v>350000</v>
      </c>
      <c r="L22" s="278">
        <f t="shared" ref="L22" si="8">H22-J22</f>
        <v>0</v>
      </c>
      <c r="M22" s="279">
        <f t="shared" ref="M22" si="9">L22*G22</f>
        <v>0</v>
      </c>
      <c r="O22" s="193"/>
    </row>
    <row r="23" spans="1:15">
      <c r="A23" s="53"/>
      <c r="B23" s="296"/>
      <c r="C23" s="325"/>
      <c r="D23" s="328"/>
      <c r="E23" s="334"/>
      <c r="F23" s="331"/>
      <c r="G23" s="312"/>
      <c r="H23" s="276"/>
      <c r="I23" s="277"/>
      <c r="J23" s="276"/>
      <c r="K23" s="277"/>
      <c r="L23" s="278"/>
      <c r="M23" s="279"/>
      <c r="O23" s="193"/>
    </row>
    <row r="24" spans="1:15" ht="28.5" customHeight="1">
      <c r="A24" s="53"/>
      <c r="B24" s="297"/>
      <c r="C24" s="323"/>
      <c r="D24" s="328"/>
      <c r="E24" s="330"/>
      <c r="F24" s="311"/>
      <c r="G24" s="312"/>
      <c r="H24" s="276"/>
      <c r="I24" s="277"/>
      <c r="J24" s="276"/>
      <c r="K24" s="277"/>
      <c r="L24" s="278"/>
      <c r="M24" s="279"/>
      <c r="O24" s="193"/>
    </row>
    <row r="25" spans="1:15">
      <c r="A25" s="53"/>
      <c r="B25" s="297"/>
      <c r="C25" s="324"/>
      <c r="D25" s="328"/>
      <c r="E25" s="330"/>
      <c r="F25" s="314"/>
      <c r="G25" s="312"/>
      <c r="H25" s="276"/>
      <c r="I25" s="277"/>
      <c r="J25" s="276"/>
      <c r="K25" s="277"/>
      <c r="L25" s="278"/>
      <c r="M25" s="279"/>
      <c r="O25" s="193"/>
    </row>
    <row r="26" spans="1:15">
      <c r="A26" s="53"/>
      <c r="B26" s="297"/>
      <c r="C26" s="323"/>
      <c r="D26" s="328"/>
      <c r="E26" s="330"/>
      <c r="F26" s="314"/>
      <c r="G26" s="312"/>
      <c r="H26" s="276"/>
      <c r="I26" s="277"/>
      <c r="J26" s="276"/>
      <c r="K26" s="277"/>
      <c r="L26" s="278"/>
      <c r="M26" s="279"/>
      <c r="O26" s="193"/>
    </row>
    <row r="27" spans="1:15">
      <c r="A27" s="53"/>
      <c r="B27" s="297"/>
      <c r="C27" s="323"/>
      <c r="D27" s="328"/>
      <c r="E27" s="330"/>
      <c r="F27" s="314"/>
      <c r="G27" s="312"/>
      <c r="H27" s="276"/>
      <c r="I27" s="277"/>
      <c r="J27" s="276"/>
      <c r="K27" s="277"/>
      <c r="L27" s="278"/>
      <c r="M27" s="279"/>
      <c r="O27" s="193"/>
    </row>
    <row r="28" spans="1:15">
      <c r="A28" s="53"/>
      <c r="B28" s="297"/>
      <c r="C28" s="323"/>
      <c r="D28" s="328"/>
      <c r="E28" s="330"/>
      <c r="F28" s="314"/>
      <c r="G28" s="312"/>
      <c r="H28" s="276"/>
      <c r="I28" s="277"/>
      <c r="J28" s="276"/>
      <c r="K28" s="277"/>
      <c r="L28" s="278"/>
      <c r="M28" s="279"/>
      <c r="O28" s="193"/>
    </row>
    <row r="29" spans="1:15">
      <c r="A29" s="53"/>
      <c r="B29" s="297"/>
      <c r="C29" s="323"/>
      <c r="D29" s="328"/>
      <c r="E29" s="330"/>
      <c r="F29" s="314"/>
      <c r="G29" s="312"/>
      <c r="H29" s="276"/>
      <c r="I29" s="277"/>
      <c r="J29" s="276"/>
      <c r="K29" s="277"/>
      <c r="L29" s="278"/>
      <c r="M29" s="279"/>
      <c r="O29" s="193"/>
    </row>
    <row r="30" spans="1:15">
      <c r="A30" s="53"/>
      <c r="B30" s="297"/>
      <c r="C30" s="323"/>
      <c r="D30" s="328"/>
      <c r="E30" s="330"/>
      <c r="F30" s="314"/>
      <c r="G30" s="312"/>
      <c r="H30" s="276"/>
      <c r="I30" s="277"/>
      <c r="J30" s="276"/>
      <c r="K30" s="277"/>
      <c r="L30" s="278"/>
      <c r="M30" s="279"/>
      <c r="O30" s="193"/>
    </row>
    <row r="31" spans="1:15">
      <c r="A31" s="53"/>
      <c r="B31" s="297"/>
      <c r="C31" s="316"/>
      <c r="D31" s="328"/>
      <c r="E31" s="266"/>
      <c r="F31" s="316"/>
      <c r="G31" s="312"/>
      <c r="H31" s="276"/>
      <c r="I31" s="277"/>
      <c r="J31" s="276"/>
      <c r="K31" s="277"/>
      <c r="L31" s="278"/>
      <c r="M31" s="279"/>
      <c r="O31" s="193"/>
    </row>
    <row r="32" spans="1:15">
      <c r="A32" s="53"/>
      <c r="B32" s="297"/>
      <c r="C32" s="319"/>
      <c r="D32" s="329"/>
      <c r="E32" s="288"/>
      <c r="F32" s="319"/>
      <c r="G32" s="322"/>
      <c r="H32" s="276"/>
      <c r="I32" s="277"/>
      <c r="J32" s="276"/>
      <c r="K32" s="277"/>
      <c r="L32" s="278"/>
      <c r="M32" s="279"/>
      <c r="O32" s="193"/>
    </row>
    <row r="33" spans="1:15">
      <c r="A33" s="53"/>
      <c r="B33" s="297"/>
      <c r="C33" s="319"/>
      <c r="D33" s="329"/>
      <c r="E33" s="288"/>
      <c r="F33" s="319"/>
      <c r="G33" s="322"/>
      <c r="H33" s="276"/>
      <c r="I33" s="277"/>
      <c r="J33" s="276"/>
      <c r="K33" s="277"/>
      <c r="L33" s="278"/>
      <c r="M33" s="279"/>
      <c r="O33" s="193"/>
    </row>
    <row r="34" spans="1:15">
      <c r="A34" s="53"/>
      <c r="B34" s="297"/>
      <c r="C34" s="316"/>
      <c r="D34" s="328"/>
      <c r="E34" s="266"/>
      <c r="F34" s="316"/>
      <c r="G34" s="312"/>
      <c r="H34" s="276"/>
      <c r="I34" s="277"/>
      <c r="J34" s="276"/>
      <c r="K34" s="277"/>
      <c r="L34" s="278"/>
      <c r="M34" s="279"/>
      <c r="O34" s="193"/>
    </row>
    <row r="35" spans="1:15">
      <c r="A35" s="53"/>
      <c r="B35" s="297"/>
      <c r="C35" s="316"/>
      <c r="D35" s="328"/>
      <c r="E35" s="266"/>
      <c r="F35" s="316"/>
      <c r="G35" s="312"/>
      <c r="H35" s="276"/>
      <c r="I35" s="277"/>
      <c r="J35" s="276"/>
      <c r="K35" s="277"/>
      <c r="L35" s="278"/>
      <c r="M35" s="279"/>
      <c r="O35" s="193"/>
    </row>
    <row r="36" spans="1:15">
      <c r="A36" s="53"/>
      <c r="B36" s="297"/>
      <c r="C36" s="316"/>
      <c r="D36" s="328"/>
      <c r="E36" s="266"/>
      <c r="F36" s="316"/>
      <c r="G36" s="312"/>
      <c r="H36" s="276"/>
      <c r="I36" s="277"/>
      <c r="J36" s="276"/>
      <c r="K36" s="277"/>
      <c r="L36" s="278"/>
      <c r="M36" s="279"/>
      <c r="O36" s="193"/>
    </row>
    <row r="37" spans="1:15">
      <c r="A37" s="53"/>
      <c r="B37" s="297"/>
      <c r="C37" s="316"/>
      <c r="D37" s="328"/>
      <c r="E37" s="266"/>
      <c r="F37" s="316"/>
      <c r="G37" s="312"/>
      <c r="H37" s="276"/>
      <c r="I37" s="277"/>
      <c r="J37" s="276"/>
      <c r="K37" s="277"/>
      <c r="L37" s="278"/>
      <c r="M37" s="279"/>
      <c r="O37" s="193"/>
    </row>
    <row r="38" spans="1:15">
      <c r="A38" s="53"/>
      <c r="B38" s="297"/>
      <c r="C38" s="316"/>
      <c r="D38" s="328"/>
      <c r="E38" s="266"/>
      <c r="F38" s="316"/>
      <c r="G38" s="312"/>
      <c r="H38" s="276"/>
      <c r="I38" s="277"/>
      <c r="J38" s="276"/>
      <c r="K38" s="277"/>
      <c r="L38" s="278"/>
      <c r="M38" s="279"/>
      <c r="O38" s="193"/>
    </row>
    <row r="39" spans="1:15">
      <c r="A39" s="53"/>
      <c r="B39" s="297"/>
      <c r="C39" s="316"/>
      <c r="D39" s="328"/>
      <c r="E39" s="266"/>
      <c r="F39" s="316"/>
      <c r="G39" s="317"/>
      <c r="H39" s="276"/>
      <c r="I39" s="277"/>
      <c r="J39" s="276"/>
      <c r="K39" s="277"/>
      <c r="L39" s="278"/>
      <c r="M39" s="279"/>
      <c r="O39" s="193"/>
    </row>
    <row r="40" spans="1:15">
      <c r="A40" s="53"/>
      <c r="B40" s="297"/>
      <c r="C40" s="319"/>
      <c r="D40" s="328"/>
      <c r="E40" s="288"/>
      <c r="F40" s="319"/>
      <c r="G40" s="320"/>
      <c r="H40" s="276"/>
      <c r="I40" s="277"/>
      <c r="J40" s="276"/>
      <c r="K40" s="277"/>
      <c r="L40" s="278"/>
      <c r="M40" s="279"/>
      <c r="O40" s="193"/>
    </row>
    <row r="41" spans="1:15">
      <c r="A41" s="53"/>
      <c r="B41" s="297"/>
      <c r="C41" s="182"/>
      <c r="D41" s="298"/>
      <c r="E41" s="266"/>
      <c r="F41" s="316"/>
      <c r="G41" s="255"/>
      <c r="H41" s="180"/>
      <c r="I41" s="114"/>
      <c r="J41" s="180"/>
      <c r="K41" s="114"/>
      <c r="L41" s="113"/>
      <c r="M41" s="115"/>
      <c r="O41" s="193"/>
    </row>
    <row r="42" spans="1:15">
      <c r="A42" s="53"/>
      <c r="B42" s="254"/>
      <c r="C42" s="262"/>
      <c r="D42" s="302"/>
      <c r="E42" s="264"/>
      <c r="F42" s="332"/>
      <c r="G42" s="295"/>
      <c r="H42" s="180"/>
      <c r="I42" s="114"/>
      <c r="J42" s="180"/>
      <c r="K42" s="114"/>
      <c r="L42" s="113"/>
      <c r="M42" s="115"/>
      <c r="O42" s="193"/>
    </row>
    <row r="43" spans="1:15">
      <c r="A43" s="53"/>
      <c r="B43" s="117"/>
      <c r="C43" s="293" t="s">
        <v>43</v>
      </c>
      <c r="D43" s="77"/>
      <c r="E43" s="258"/>
      <c r="F43" s="260"/>
      <c r="G43" s="114">
        <f>SUM(G18:G42)</f>
        <v>1230000</v>
      </c>
      <c r="H43" s="121"/>
      <c r="I43" s="120">
        <f>SUM(I18:I42)</f>
        <v>1230000</v>
      </c>
      <c r="J43" s="122"/>
      <c r="K43" s="120">
        <f>SUM(K18:K42)</f>
        <v>1230000</v>
      </c>
      <c r="L43" s="123"/>
      <c r="M43" s="124">
        <f>SUM(M18:M42)</f>
        <v>0</v>
      </c>
    </row>
    <row r="44" spans="1:15">
      <c r="A44" s="53"/>
      <c r="B44" s="202"/>
      <c r="C44" s="203" t="s">
        <v>44</v>
      </c>
      <c r="D44" s="204"/>
      <c r="E44" s="247"/>
      <c r="F44" s="205"/>
      <c r="G44" s="206"/>
      <c r="H44" s="207"/>
      <c r="I44" s="208">
        <f>I43*F44</f>
        <v>0</v>
      </c>
      <c r="J44" s="209"/>
      <c r="K44" s="208">
        <f>K43*F44</f>
        <v>0</v>
      </c>
      <c r="L44" s="210"/>
      <c r="M44" s="211">
        <f>M43*F44</f>
        <v>0</v>
      </c>
      <c r="O44" s="193"/>
    </row>
    <row r="45" spans="1:15">
      <c r="A45" s="53"/>
      <c r="B45" s="223"/>
      <c r="C45" s="224" t="s">
        <v>58</v>
      </c>
      <c r="D45" s="225"/>
      <c r="E45" s="248"/>
      <c r="F45" s="226"/>
      <c r="G45" s="227">
        <v>0</v>
      </c>
      <c r="H45" s="228">
        <v>0</v>
      </c>
      <c r="I45" s="114">
        <f>H45*G45</f>
        <v>0</v>
      </c>
      <c r="J45" s="113">
        <v>0</v>
      </c>
      <c r="K45" s="114">
        <f>G45*J45</f>
        <v>0</v>
      </c>
      <c r="L45" s="113">
        <f>H45-J45</f>
        <v>0</v>
      </c>
      <c r="M45" s="115">
        <f>L45*G45</f>
        <v>0</v>
      </c>
    </row>
    <row r="46" spans="1:15">
      <c r="A46" s="126"/>
      <c r="B46" s="127"/>
      <c r="C46" s="128" t="s">
        <v>45</v>
      </c>
      <c r="D46" s="129"/>
      <c r="E46" s="249"/>
      <c r="F46" s="130"/>
      <c r="G46" s="131">
        <f>G43-G44+G45</f>
        <v>1230000</v>
      </c>
      <c r="H46" s="4" t="s">
        <v>46</v>
      </c>
      <c r="I46" s="134">
        <f>+I43-I44</f>
        <v>1230000</v>
      </c>
      <c r="J46" s="132"/>
      <c r="K46" s="134">
        <f>+K43-K44</f>
        <v>1230000</v>
      </c>
      <c r="L46" s="133"/>
      <c r="M46" s="134">
        <f>+M43-M44</f>
        <v>0</v>
      </c>
    </row>
    <row r="47" spans="1:15">
      <c r="A47" s="53"/>
      <c r="B47" s="117"/>
      <c r="C47" s="118" t="s">
        <v>47</v>
      </c>
      <c r="D47" s="55"/>
      <c r="E47" s="245"/>
      <c r="F47" s="119"/>
      <c r="G47" s="120">
        <f>G46*19%</f>
        <v>233700</v>
      </c>
      <c r="H47" s="121"/>
      <c r="I47" s="120">
        <f>I46*19%</f>
        <v>233700</v>
      </c>
      <c r="J47" s="122"/>
      <c r="K47" s="120">
        <f>K46*19%</f>
        <v>233700</v>
      </c>
      <c r="L47" s="123"/>
      <c r="M47" s="120">
        <f>+M46*0.19</f>
        <v>0</v>
      </c>
      <c r="O47" s="193"/>
    </row>
    <row r="48" spans="1:15">
      <c r="A48" s="53"/>
      <c r="B48" s="125"/>
      <c r="C48" s="135" t="s">
        <v>48</v>
      </c>
      <c r="D48" s="60"/>
      <c r="E48" s="246"/>
      <c r="F48" s="116"/>
      <c r="G48" s="136">
        <f>SUM(G46:G47)</f>
        <v>1463700</v>
      </c>
      <c r="H48" s="137"/>
      <c r="I48" s="136">
        <f>SUM(I46:I47)</f>
        <v>1463700</v>
      </c>
      <c r="J48" s="138"/>
      <c r="K48" s="136">
        <f>SUM(K46:K47)</f>
        <v>1463700</v>
      </c>
      <c r="L48" s="139"/>
      <c r="M48" s="136">
        <f>SUM(M46:M47)</f>
        <v>0</v>
      </c>
    </row>
    <row r="49" spans="1:15">
      <c r="A49" s="53"/>
      <c r="B49" s="117"/>
      <c r="C49" s="67"/>
      <c r="D49" s="67"/>
      <c r="E49" s="250"/>
      <c r="F49" s="140"/>
      <c r="G49" s="68"/>
      <c r="H49" s="141"/>
      <c r="I49" s="142"/>
      <c r="J49" s="143"/>
      <c r="K49" s="142"/>
      <c r="L49" s="144"/>
      <c r="M49" s="145"/>
      <c r="O49" s="193"/>
    </row>
    <row r="50" spans="1:15">
      <c r="A50" s="53"/>
      <c r="B50" s="146"/>
      <c r="C50" s="147"/>
      <c r="D50" s="147"/>
      <c r="E50" s="230"/>
      <c r="F50" s="148"/>
      <c r="G50" s="149"/>
      <c r="H50" s="150"/>
      <c r="I50" s="151"/>
      <c r="J50" s="152"/>
      <c r="K50" s="151"/>
      <c r="L50" s="153"/>
      <c r="M50" s="154"/>
    </row>
    <row r="51" spans="1:15">
      <c r="A51" s="53"/>
      <c r="B51" s="146"/>
      <c r="C51" s="147"/>
      <c r="D51" s="147"/>
      <c r="E51" s="230"/>
      <c r="F51" s="148"/>
      <c r="G51" s="149"/>
      <c r="H51" s="150"/>
      <c r="I51" s="151"/>
      <c r="J51" s="152"/>
      <c r="K51" s="151"/>
      <c r="L51" s="153"/>
      <c r="M51" s="154"/>
    </row>
    <row r="52" spans="1:15">
      <c r="A52" s="53"/>
      <c r="B52" s="155"/>
      <c r="C52" s="147"/>
      <c r="D52" s="147"/>
      <c r="E52" s="230"/>
      <c r="F52" s="147"/>
      <c r="G52" s="147"/>
      <c r="H52" s="156"/>
      <c r="I52" s="157"/>
      <c r="J52" s="158"/>
      <c r="K52" s="159"/>
      <c r="L52" s="158"/>
      <c r="M52" s="160"/>
    </row>
    <row r="53" spans="1:15">
      <c r="A53" s="53"/>
      <c r="B53" s="161"/>
      <c r="C53" s="77"/>
      <c r="D53" s="77"/>
      <c r="E53" s="251"/>
      <c r="F53" s="77"/>
      <c r="G53" s="162"/>
      <c r="H53" s="78"/>
      <c r="I53" s="77"/>
      <c r="J53" s="78"/>
      <c r="K53" s="77"/>
      <c r="L53" s="77"/>
      <c r="M53" s="163"/>
    </row>
    <row r="54" spans="1:15">
      <c r="A54" s="53"/>
      <c r="B54" s="155"/>
      <c r="C54" s="376"/>
      <c r="D54" s="377"/>
      <c r="E54" s="377"/>
      <c r="F54" s="378"/>
      <c r="G54" s="379"/>
      <c r="H54" s="380"/>
      <c r="I54" s="380"/>
      <c r="J54" s="381"/>
      <c r="K54" s="77"/>
      <c r="L54" s="77"/>
      <c r="M54" s="163"/>
    </row>
    <row r="55" spans="1:15">
      <c r="A55" s="53"/>
      <c r="B55" s="59"/>
      <c r="C55" s="60"/>
      <c r="D55" s="60"/>
      <c r="E55" s="239"/>
      <c r="F55" s="60"/>
      <c r="G55" s="61"/>
      <c r="H55" s="62"/>
      <c r="I55" s="60"/>
      <c r="J55" s="62"/>
      <c r="K55" s="60"/>
      <c r="L55" s="60"/>
      <c r="M55" s="164"/>
    </row>
    <row r="56" spans="1:15">
      <c r="A56" s="53"/>
      <c r="B56" s="165"/>
      <c r="C56" s="382"/>
      <c r="D56" s="383"/>
      <c r="E56" s="383"/>
      <c r="F56" s="383"/>
      <c r="G56" s="384"/>
      <c r="H56" s="385" t="s">
        <v>49</v>
      </c>
      <c r="I56" s="386"/>
      <c r="J56" s="386"/>
      <c r="K56" s="386"/>
      <c r="L56" s="386"/>
      <c r="M56" s="387"/>
    </row>
    <row r="57" spans="1:15">
      <c r="A57" s="53"/>
      <c r="B57" s="161"/>
      <c r="C57" s="77"/>
      <c r="D57" s="77"/>
      <c r="E57" s="251"/>
      <c r="F57" s="77"/>
      <c r="G57" s="162"/>
      <c r="H57" s="78"/>
      <c r="I57" s="77"/>
      <c r="J57" s="78"/>
      <c r="K57" s="77"/>
      <c r="L57" s="77"/>
      <c r="M57" s="163"/>
    </row>
    <row r="58" spans="1:15" ht="16" thickBot="1">
      <c r="A58" s="53"/>
      <c r="B58" s="166"/>
      <c r="C58" s="167"/>
      <c r="D58" s="167"/>
      <c r="E58" s="252"/>
      <c r="F58" s="167"/>
      <c r="G58" s="168"/>
      <c r="H58" s="169"/>
      <c r="I58" s="167"/>
      <c r="J58" s="169"/>
      <c r="K58" s="167"/>
      <c r="L58" s="167"/>
      <c r="M58" s="170"/>
    </row>
    <row r="60" spans="1:15">
      <c r="G60" s="229"/>
    </row>
  </sheetData>
  <mergeCells count="12">
    <mergeCell ref="C54:F54"/>
    <mergeCell ref="G54:J54"/>
    <mergeCell ref="C56:G56"/>
    <mergeCell ref="H56:M56"/>
    <mergeCell ref="B3:M3"/>
    <mergeCell ref="B12:M12"/>
    <mergeCell ref="H15:I15"/>
    <mergeCell ref="J15:K16"/>
    <mergeCell ref="L15:M15"/>
    <mergeCell ref="C16:F16"/>
    <mergeCell ref="H16:I16"/>
    <mergeCell ref="L16:M16"/>
  </mergeCells>
  <pageMargins left="0.70000000000000007" right="0.70000000000000007" top="0.75000000000000011" bottom="0.75000000000000011" header="0.30000000000000004" footer="0.30000000000000004"/>
  <pageSetup scale="32" orientation="landscape" horizontalDpi="4294967292" verticalDpi="429496729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RESUMEN</vt:lpstr>
      <vt:lpstr>1</vt:lpstr>
      <vt:lpstr>2</vt:lpstr>
      <vt:lpstr>3</vt:lpstr>
      <vt:lpstr>4</vt:lpstr>
      <vt:lpstr>5</vt:lpstr>
      <vt:lpstr>6</vt:lpstr>
      <vt:lpstr>7</vt:lpstr>
      <vt:lpstr>8</vt:lpstr>
      <vt:lpstr>9</vt:lpstr>
    </vt:vector>
  </TitlesOfParts>
  <Company>Genuine CORP @ 2010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jukkaP</dc:creator>
  <cp:lastModifiedBy>Microsoft Office User</cp:lastModifiedBy>
  <cp:lastPrinted>2023-05-15T13:39:50Z</cp:lastPrinted>
  <dcterms:created xsi:type="dcterms:W3CDTF">2017-02-08T11:58:40Z</dcterms:created>
  <dcterms:modified xsi:type="dcterms:W3CDTF">2025-10-14T17:10:21Z</dcterms:modified>
</cp:coreProperties>
</file>