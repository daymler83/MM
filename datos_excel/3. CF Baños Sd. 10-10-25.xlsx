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embeddings/oleObject20.bin" ContentType="application/vnd.openxmlformats-officedocument.oleObject"/>
  <Override PartName="/xl/embeddings/oleObject21.bin" ContentType="application/vnd.openxmlformats-officedocument.oleObject"/>
  <Override PartName="/xl/embeddings/oleObject22.bin" ContentType="application/vnd.openxmlformats-officedocument.oleObject"/>
  <Override PartName="/xl/embeddings/oleObject23.bin" ContentType="application/vnd.openxmlformats-officedocument.oleObject"/>
  <Override PartName="/xl/embeddings/oleObject24.bin" ContentType="application/vnd.openxmlformats-officedocument.oleObject"/>
  <Override PartName="/xl/embeddings/oleObject25.bin" ContentType="application/vnd.openxmlformats-officedocument.oleObject"/>
  <Override PartName="/xl/embeddings/oleObject26.bin" ContentType="application/vnd.openxmlformats-officedocument.oleObject"/>
  <Override PartName="/xl/embeddings/oleObject27.bin" ContentType="application/vnd.openxmlformats-officedocument.oleObject"/>
  <Override PartName="/xl/embeddings/oleObject28.bin" ContentType="application/vnd.openxmlformats-officedocument.oleObject"/>
  <Override PartName="/xl/embeddings/oleObject29.bin" ContentType="application/vnd.openxmlformats-officedocument.oleObject"/>
  <Override PartName="/xl/embeddings/oleObject30.bin" ContentType="application/vnd.openxmlformats-officedocument.oleObject"/>
  <Override PartName="/xl/embeddings/oleObject31.bin" ContentType="application/vnd.openxmlformats-officedocument.oleObject"/>
  <Override PartName="/xl/embeddings/oleObject32.bin" ContentType="application/vnd.openxmlformats-officedocument.oleObject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manleymorejon/Library/CloudStorage/GoogleDrive-manley.mm.drive@gmail.com/.shortcut-targets-by-id/1n3KjOGI79A-V0pl_9PQKrwgKSqOthQpL/GERENCIA DE OPERACIONES/Obras Ganadas/2025/13. RBHCS La Calera /CF/Real/"/>
    </mc:Choice>
  </mc:AlternateContent>
  <xr:revisionPtr revIDLastSave="0" documentId="13_ncr:1_{7EF01613-84F5-3B4A-AB6D-0137F7B32B9D}" xr6:coauthVersionLast="47" xr6:coauthVersionMax="47" xr10:uidLastSave="{00000000-0000-0000-0000-000000000000}"/>
  <bookViews>
    <workbookView xWindow="0" yWindow="0" windowWidth="28800" windowHeight="18000" tabRatio="894" xr2:uid="{00000000-000D-0000-FFFF-FFFF00000000}"/>
  </bookViews>
  <sheets>
    <sheet name="RESUMEN" sheetId="1" r:id="rId1"/>
    <sheet name="Itemizado" sheetId="15" r:id="rId2"/>
    <sheet name="Adicionales" sheetId="8" r:id="rId3"/>
    <sheet name="Remuneraciones" sheetId="3" r:id="rId4"/>
    <sheet name="Subcontratos" sheetId="4" r:id="rId5"/>
    <sheet name="Sub AD" sheetId="17" r:id="rId6"/>
    <sheet name="Arriendos" sheetId="5" r:id="rId7"/>
    <sheet name="Materiales Obras" sheetId="6" r:id="rId8"/>
    <sheet name="Materiales Prevención" sheetId="7" r:id="rId9"/>
    <sheet name="Seguros" sheetId="9" r:id="rId10"/>
    <sheet name="Gastos Oficina" sheetId="16" r:id="rId11"/>
    <sheet name="MAS Herramientas" sheetId="11" r:id="rId12"/>
    <sheet name="Garantias" sheetId="12" r:id="rId13"/>
    <sheet name="Gastos Rechazado" sheetId="14" r:id="rId14"/>
    <sheet name="Gastos de factoring" sheetId="13" r:id="rId15"/>
  </sheets>
  <externalReferences>
    <externalReference r:id="rId1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3" l="1"/>
  <c r="L51" i="6"/>
  <c r="M51" i="6" s="1"/>
  <c r="L50" i="6"/>
  <c r="M50" i="6" s="1"/>
  <c r="L49" i="6"/>
  <c r="M49" i="6" s="1"/>
  <c r="M48" i="6"/>
  <c r="L48" i="6"/>
  <c r="I84" i="14" l="1"/>
  <c r="J84" i="14"/>
  <c r="I85" i="14"/>
  <c r="J85" i="14"/>
  <c r="I86" i="14"/>
  <c r="J86" i="14"/>
  <c r="I87" i="14"/>
  <c r="J87" i="14"/>
  <c r="I88" i="14"/>
  <c r="J88" i="14"/>
  <c r="I89" i="14"/>
  <c r="J89" i="14"/>
  <c r="I90" i="14"/>
  <c r="J90" i="14"/>
  <c r="I91" i="14"/>
  <c r="J91" i="14"/>
  <c r="I92" i="14"/>
  <c r="J92" i="14"/>
  <c r="I93" i="14"/>
  <c r="J93" i="14"/>
  <c r="I94" i="14"/>
  <c r="J94" i="14"/>
  <c r="I95" i="14"/>
  <c r="J95" i="14"/>
  <c r="I96" i="14"/>
  <c r="J96" i="14"/>
  <c r="I97" i="14"/>
  <c r="J97" i="14"/>
  <c r="I98" i="14"/>
  <c r="J98" i="14"/>
  <c r="I99" i="14"/>
  <c r="J99" i="14"/>
  <c r="I100" i="14"/>
  <c r="J100" i="14"/>
  <c r="I101" i="14"/>
  <c r="J101" i="14"/>
  <c r="I102" i="14"/>
  <c r="J102" i="14"/>
  <c r="I103" i="14"/>
  <c r="J103" i="14"/>
  <c r="I104" i="14"/>
  <c r="J104" i="14"/>
  <c r="I105" i="14"/>
  <c r="J105" i="14"/>
  <c r="I106" i="14"/>
  <c r="J106" i="14"/>
  <c r="I107" i="14"/>
  <c r="J107" i="14"/>
  <c r="I108" i="14"/>
  <c r="J108" i="14"/>
  <c r="I109" i="14"/>
  <c r="J109" i="14"/>
  <c r="I110" i="14"/>
  <c r="J110" i="14"/>
  <c r="I111" i="14"/>
  <c r="J111" i="14"/>
  <c r="I112" i="14"/>
  <c r="J112" i="14"/>
  <c r="I113" i="14"/>
  <c r="J113" i="14"/>
  <c r="I114" i="14"/>
  <c r="J114" i="14"/>
  <c r="J18" i="11" l="1"/>
  <c r="C18" i="11"/>
  <c r="E51" i="6"/>
  <c r="F51" i="6" s="1"/>
  <c r="E50" i="6"/>
  <c r="F50" i="6" s="1"/>
  <c r="E49" i="6"/>
  <c r="F49" i="6" s="1"/>
  <c r="J20" i="5"/>
  <c r="C20" i="5"/>
  <c r="M24" i="8"/>
  <c r="M23" i="8"/>
  <c r="J31" i="3" l="1"/>
  <c r="J32" i="3" s="1"/>
  <c r="M22" i="8" l="1"/>
  <c r="L19" i="8"/>
  <c r="L18" i="8"/>
  <c r="L26" i="8" s="1"/>
  <c r="M17" i="8"/>
  <c r="M26" i="8" l="1"/>
  <c r="M10" i="8" l="1"/>
  <c r="E15" i="1"/>
  <c r="K59" i="6"/>
  <c r="J119" i="14"/>
  <c r="D20" i="6" l="1"/>
  <c r="E48" i="6"/>
  <c r="F48" i="6" s="1"/>
  <c r="E47" i="6"/>
  <c r="F47" i="6" s="1"/>
  <c r="E46" i="6"/>
  <c r="F46" i="6" s="1"/>
  <c r="K19" i="1"/>
  <c r="L47" i="6" l="1"/>
  <c r="M47" i="6" s="1"/>
  <c r="L46" i="6"/>
  <c r="M46" i="6" s="1"/>
  <c r="C42" i="3" l="1"/>
  <c r="I119" i="14" l="1"/>
  <c r="J118" i="14"/>
  <c r="I118" i="14"/>
  <c r="J83" i="14"/>
  <c r="I83" i="14"/>
  <c r="J82" i="14"/>
  <c r="I82" i="14"/>
  <c r="J81" i="14"/>
  <c r="I81" i="14"/>
  <c r="J80" i="14"/>
  <c r="I80" i="14"/>
  <c r="J79" i="14"/>
  <c r="I79" i="14"/>
  <c r="J78" i="14"/>
  <c r="I78" i="14"/>
  <c r="J77" i="14"/>
  <c r="I77" i="14"/>
  <c r="J76" i="14"/>
  <c r="I76" i="14"/>
  <c r="J75" i="14"/>
  <c r="I75" i="14"/>
  <c r="J74" i="14"/>
  <c r="I74" i="14"/>
  <c r="J73" i="14"/>
  <c r="I73" i="14"/>
  <c r="J72" i="14"/>
  <c r="I72" i="14"/>
  <c r="J71" i="14"/>
  <c r="I71" i="14"/>
  <c r="J70" i="14"/>
  <c r="I70" i="14"/>
  <c r="J69" i="14"/>
  <c r="I69" i="14"/>
  <c r="J68" i="14"/>
  <c r="I68" i="14"/>
  <c r="J67" i="14"/>
  <c r="I67" i="14"/>
  <c r="J66" i="14"/>
  <c r="I66" i="14"/>
  <c r="J65" i="14"/>
  <c r="I65" i="14"/>
  <c r="J64" i="14"/>
  <c r="I64" i="14"/>
  <c r="J63" i="14"/>
  <c r="I63" i="14"/>
  <c r="J62" i="14"/>
  <c r="I62" i="14"/>
  <c r="J61" i="14"/>
  <c r="I61" i="14"/>
  <c r="J60" i="14"/>
  <c r="I60" i="14"/>
  <c r="J59" i="14"/>
  <c r="I59" i="14"/>
  <c r="J58" i="14"/>
  <c r="I58" i="14"/>
  <c r="J57" i="14"/>
  <c r="I57" i="14"/>
  <c r="J56" i="14"/>
  <c r="I56" i="14"/>
  <c r="J55" i="14"/>
  <c r="I55" i="14"/>
  <c r="J54" i="14"/>
  <c r="I54" i="14"/>
  <c r="J53" i="14"/>
  <c r="I53" i="14"/>
  <c r="J52" i="14"/>
  <c r="I52" i="14"/>
  <c r="J51" i="14"/>
  <c r="I51" i="14"/>
  <c r="J50" i="14"/>
  <c r="I50" i="14"/>
  <c r="J49" i="14"/>
  <c r="I49" i="14"/>
  <c r="J48" i="14"/>
  <c r="I48" i="14"/>
  <c r="J47" i="14"/>
  <c r="I47" i="14"/>
  <c r="J46" i="14"/>
  <c r="I46" i="14"/>
  <c r="J45" i="14"/>
  <c r="I45" i="14"/>
  <c r="J44" i="14"/>
  <c r="I44" i="14"/>
  <c r="J43" i="14"/>
  <c r="I43" i="14"/>
  <c r="J42" i="14"/>
  <c r="I42" i="14"/>
  <c r="J41" i="14"/>
  <c r="I41" i="14"/>
  <c r="J40" i="14"/>
  <c r="I40" i="14"/>
  <c r="J39" i="14"/>
  <c r="I39" i="14"/>
  <c r="J38" i="14"/>
  <c r="I38" i="14"/>
  <c r="J37" i="14"/>
  <c r="I37" i="14"/>
  <c r="J36" i="14"/>
  <c r="I36" i="14"/>
  <c r="J35" i="14"/>
  <c r="I35" i="14"/>
  <c r="J34" i="14"/>
  <c r="I34" i="14"/>
  <c r="J33" i="14"/>
  <c r="I33" i="14"/>
  <c r="J32" i="14"/>
  <c r="I32" i="14"/>
  <c r="J31" i="14"/>
  <c r="I31" i="14"/>
  <c r="J30" i="14"/>
  <c r="I30" i="14"/>
  <c r="J29" i="14"/>
  <c r="I29" i="14"/>
  <c r="J28" i="14"/>
  <c r="I28" i="14"/>
  <c r="J27" i="14"/>
  <c r="I27" i="14"/>
  <c r="J26" i="14"/>
  <c r="I26" i="14"/>
  <c r="J25" i="14"/>
  <c r="I25" i="14"/>
  <c r="J24" i="14"/>
  <c r="I24" i="14"/>
  <c r="J23" i="14"/>
  <c r="I23" i="14"/>
  <c r="J20" i="7"/>
  <c r="C20" i="7"/>
  <c r="J22" i="7"/>
  <c r="D22" i="7"/>
  <c r="E22" i="7" s="1"/>
  <c r="E38" i="6"/>
  <c r="F38" i="6" s="1"/>
  <c r="E39" i="6"/>
  <c r="F39" i="6" s="1"/>
  <c r="E45" i="6"/>
  <c r="F45" i="6" s="1"/>
  <c r="E44" i="6"/>
  <c r="F44" i="6" s="1"/>
  <c r="E43" i="6"/>
  <c r="F43" i="6" s="1"/>
  <c r="E42" i="6"/>
  <c r="F42" i="6" s="1"/>
  <c r="E41" i="6"/>
  <c r="F41" i="6" s="1"/>
  <c r="E40" i="6"/>
  <c r="F40" i="6" s="1"/>
  <c r="L45" i="6"/>
  <c r="M45" i="6" s="1"/>
  <c r="L44" i="6"/>
  <c r="M44" i="6" s="1"/>
  <c r="L41" i="6"/>
  <c r="M41" i="6" s="1"/>
  <c r="L40" i="6"/>
  <c r="M40" i="6" s="1"/>
  <c r="I121" i="14" l="1"/>
  <c r="J121" i="14"/>
  <c r="K22" i="7"/>
  <c r="L22" i="7" s="1"/>
  <c r="L38" i="6"/>
  <c r="M38" i="6" s="1"/>
  <c r="L39" i="6"/>
  <c r="M39" i="6" s="1"/>
  <c r="L43" i="6"/>
  <c r="M43" i="6" s="1"/>
  <c r="L42" i="6"/>
  <c r="M42" i="6" s="1"/>
  <c r="L59" i="6"/>
  <c r="M59" i="6" s="1"/>
  <c r="J122" i="14" l="1"/>
  <c r="K27" i="1" s="1"/>
  <c r="H31" i="3"/>
  <c r="H32" i="3" s="1"/>
  <c r="E37" i="6" l="1"/>
  <c r="F37" i="6" s="1"/>
  <c r="E57" i="4"/>
  <c r="G40" i="4" s="1"/>
  <c r="D27" i="4" l="1"/>
  <c r="B25" i="4"/>
  <c r="B26" i="4"/>
  <c r="B27" i="4"/>
  <c r="J25" i="3"/>
  <c r="J24" i="3"/>
  <c r="J23" i="3"/>
  <c r="J22" i="3"/>
  <c r="J21" i="3"/>
  <c r="J20" i="3"/>
  <c r="J19" i="3"/>
  <c r="J18" i="3"/>
  <c r="J17" i="3"/>
  <c r="J16" i="3"/>
  <c r="F119" i="15"/>
  <c r="F118" i="15"/>
  <c r="F117" i="15"/>
  <c r="F116" i="15"/>
  <c r="B24" i="4" s="1"/>
  <c r="F115" i="15"/>
  <c r="B23" i="4" s="1"/>
  <c r="F114" i="15"/>
  <c r="B22" i="4" s="1"/>
  <c r="F113" i="15"/>
  <c r="B21" i="4" s="1"/>
  <c r="F112" i="15"/>
  <c r="B20" i="4" s="1"/>
  <c r="F111" i="15"/>
  <c r="G98" i="15"/>
  <c r="R97" i="15"/>
  <c r="G119" i="15" s="1"/>
  <c r="Q97" i="15"/>
  <c r="G118" i="15" s="1"/>
  <c r="D26" i="4" s="1"/>
  <c r="F26" i="4" s="1"/>
  <c r="H26" i="4" s="1"/>
  <c r="G95" i="15"/>
  <c r="G94" i="15"/>
  <c r="J94" i="15" s="1"/>
  <c r="G93" i="15"/>
  <c r="N93" i="15" s="1"/>
  <c r="G92" i="15"/>
  <c r="J92" i="15" s="1"/>
  <c r="G91" i="15"/>
  <c r="J91" i="15" s="1"/>
  <c r="G90" i="15"/>
  <c r="J90" i="15" s="1"/>
  <c r="G89" i="15"/>
  <c r="J89" i="15" s="1"/>
  <c r="G88" i="15"/>
  <c r="G87" i="15"/>
  <c r="J87" i="15" s="1"/>
  <c r="G86" i="15"/>
  <c r="J86" i="15" s="1"/>
  <c r="G85" i="15"/>
  <c r="J85" i="15" s="1"/>
  <c r="G84" i="15"/>
  <c r="J84" i="15" s="1"/>
  <c r="G82" i="15"/>
  <c r="G81" i="15"/>
  <c r="J81" i="15" s="1"/>
  <c r="P80" i="15"/>
  <c r="G80" i="15"/>
  <c r="G79" i="15"/>
  <c r="P79" i="15" s="1"/>
  <c r="G78" i="15"/>
  <c r="P78" i="15" s="1"/>
  <c r="G77" i="15"/>
  <c r="N77" i="15" s="1"/>
  <c r="G76" i="15"/>
  <c r="J76" i="15" s="1"/>
  <c r="G75" i="15"/>
  <c r="J75" i="15" s="1"/>
  <c r="G74" i="15"/>
  <c r="J74" i="15" s="1"/>
  <c r="G73" i="15"/>
  <c r="J73" i="15" s="1"/>
  <c r="G72" i="15"/>
  <c r="N72" i="15" s="1"/>
  <c r="G71" i="15"/>
  <c r="P71" i="15" s="1"/>
  <c r="G70" i="15"/>
  <c r="G69" i="15"/>
  <c r="G68" i="15"/>
  <c r="P67" i="15"/>
  <c r="G67" i="15"/>
  <c r="G66" i="15"/>
  <c r="G65" i="15"/>
  <c r="J65" i="15" s="1"/>
  <c r="G64" i="15"/>
  <c r="G63" i="15"/>
  <c r="G62" i="15"/>
  <c r="O62" i="15" s="1"/>
  <c r="O97" i="15" s="1"/>
  <c r="G116" i="15" s="1"/>
  <c r="D24" i="4" s="1"/>
  <c r="F24" i="4" s="1"/>
  <c r="H24" i="4" s="1"/>
  <c r="G61" i="15"/>
  <c r="L61" i="15" s="1"/>
  <c r="L97" i="15" s="1"/>
  <c r="G113" i="15" s="1"/>
  <c r="D21" i="4" s="1"/>
  <c r="F21" i="4" s="1"/>
  <c r="G60" i="15"/>
  <c r="J60" i="15" s="1"/>
  <c r="G59" i="15"/>
  <c r="J59" i="15" s="1"/>
  <c r="G58" i="15"/>
  <c r="G57" i="15"/>
  <c r="N57" i="15" s="1"/>
  <c r="G56" i="15"/>
  <c r="J56" i="15" s="1"/>
  <c r="G55" i="15"/>
  <c r="J55" i="15" s="1"/>
  <c r="G54" i="15"/>
  <c r="J54" i="15" s="1"/>
  <c r="G53" i="15"/>
  <c r="N53" i="15" s="1"/>
  <c r="G52" i="15"/>
  <c r="N52" i="15" s="1"/>
  <c r="G51" i="15"/>
  <c r="J51" i="15" s="1"/>
  <c r="G50" i="15"/>
  <c r="G49" i="15"/>
  <c r="N49" i="15" s="1"/>
  <c r="G48" i="15"/>
  <c r="N48" i="15" s="1"/>
  <c r="G47" i="15"/>
  <c r="M47" i="15" s="1"/>
  <c r="G46" i="15"/>
  <c r="M46" i="15" s="1"/>
  <c r="G45" i="15"/>
  <c r="M45" i="15" s="1"/>
  <c r="G44" i="15"/>
  <c r="J44" i="15" s="1"/>
  <c r="G40" i="15"/>
  <c r="J40" i="15" s="1"/>
  <c r="G39" i="15"/>
  <c r="J39" i="15" s="1"/>
  <c r="G38" i="15"/>
  <c r="J38" i="15" s="1"/>
  <c r="F38" i="15"/>
  <c r="G37" i="15"/>
  <c r="J37" i="15" s="1"/>
  <c r="G36" i="15"/>
  <c r="J36" i="15" s="1"/>
  <c r="G35" i="15"/>
  <c r="J35" i="15" s="1"/>
  <c r="G34" i="15"/>
  <c r="J34" i="15" s="1"/>
  <c r="G33" i="15"/>
  <c r="J33" i="15" s="1"/>
  <c r="J32" i="15"/>
  <c r="G32" i="15"/>
  <c r="G31" i="15"/>
  <c r="J31" i="15" s="1"/>
  <c r="G30" i="15"/>
  <c r="J30" i="15" s="1"/>
  <c r="G29" i="15"/>
  <c r="J29" i="15" s="1"/>
  <c r="G28" i="15"/>
  <c r="J28" i="15" s="1"/>
  <c r="G27" i="15"/>
  <c r="J27" i="15" s="1"/>
  <c r="G26" i="15"/>
  <c r="J26" i="15" s="1"/>
  <c r="G25" i="15"/>
  <c r="J25" i="15" s="1"/>
  <c r="G24" i="15"/>
  <c r="J24" i="15" s="1"/>
  <c r="G23" i="15"/>
  <c r="G22" i="15"/>
  <c r="K22" i="15" s="1"/>
  <c r="K97" i="15" s="1"/>
  <c r="G112" i="15" s="1"/>
  <c r="D20" i="4" s="1"/>
  <c r="J21" i="15"/>
  <c r="G21" i="15"/>
  <c r="G20" i="15"/>
  <c r="J20" i="15" s="1"/>
  <c r="G19" i="15"/>
  <c r="J19" i="15" s="1"/>
  <c r="G18" i="15"/>
  <c r="J18" i="15" s="1"/>
  <c r="G17" i="15"/>
  <c r="J17" i="15" s="1"/>
  <c r="G16" i="15"/>
  <c r="J16" i="15" s="1"/>
  <c r="G15" i="15"/>
  <c r="J15" i="15" s="1"/>
  <c r="G14" i="15"/>
  <c r="J14" i="15" s="1"/>
  <c r="G13" i="15"/>
  <c r="J13" i="15" s="1"/>
  <c r="G12" i="15"/>
  <c r="G11" i="15"/>
  <c r="G10" i="15"/>
  <c r="J10" i="15" s="1"/>
  <c r="F27" i="4"/>
  <c r="H27" i="4" s="1"/>
  <c r="J97" i="15" l="1"/>
  <c r="G111" i="15" s="1"/>
  <c r="N97" i="15"/>
  <c r="G115" i="15" s="1"/>
  <c r="D23" i="4" s="1"/>
  <c r="F23" i="4" s="1"/>
  <c r="P97" i="15"/>
  <c r="G117" i="15" s="1"/>
  <c r="D25" i="4" s="1"/>
  <c r="F25" i="4" s="1"/>
  <c r="H25" i="4" s="1"/>
  <c r="M97" i="15"/>
  <c r="G114" i="15" s="1"/>
  <c r="D22" i="4" s="1"/>
  <c r="F22" i="4" s="1"/>
  <c r="G97" i="15"/>
  <c r="E14" i="1" s="1"/>
  <c r="K2" i="1"/>
  <c r="E33" i="1"/>
  <c r="G99" i="15" l="1"/>
  <c r="E34" i="1" s="1"/>
  <c r="E98" i="15"/>
  <c r="G120" i="15"/>
  <c r="F20" i="4"/>
  <c r="D17" i="4"/>
  <c r="C14" i="3"/>
  <c r="O2" i="1"/>
  <c r="G100" i="15" l="1"/>
  <c r="E22" i="13"/>
  <c r="K28" i="1" s="1"/>
  <c r="C18" i="9"/>
  <c r="K21" i="9"/>
  <c r="J22" i="9"/>
  <c r="K22" i="9" s="1"/>
  <c r="J23" i="9"/>
  <c r="K23" i="9" s="1"/>
  <c r="J24" i="9"/>
  <c r="K24" i="9" s="1"/>
  <c r="J25" i="9"/>
  <c r="K25" i="9" s="1"/>
  <c r="J26" i="9"/>
  <c r="K26" i="9" s="1"/>
  <c r="J27" i="9"/>
  <c r="K27" i="9" s="1"/>
  <c r="J28" i="9"/>
  <c r="K28" i="9" s="1"/>
  <c r="J29" i="9"/>
  <c r="K29" i="9" s="1"/>
  <c r="J30" i="9"/>
  <c r="K30" i="9" s="1"/>
  <c r="J31" i="9"/>
  <c r="K31" i="9" s="1"/>
  <c r="J32" i="9"/>
  <c r="K32" i="9" s="1"/>
  <c r="J33" i="9"/>
  <c r="K33" i="9" s="1"/>
  <c r="D21" i="9"/>
  <c r="E21" i="9" s="1"/>
  <c r="D22" i="9"/>
  <c r="E22" i="9" s="1"/>
  <c r="D23" i="9"/>
  <c r="E23" i="9" s="1"/>
  <c r="D24" i="9"/>
  <c r="E24" i="9" s="1"/>
  <c r="D25" i="9"/>
  <c r="E25" i="9" s="1"/>
  <c r="D26" i="9"/>
  <c r="E26" i="9" s="1"/>
  <c r="D27" i="9"/>
  <c r="E27" i="9" s="1"/>
  <c r="D28" i="9"/>
  <c r="E28" i="9" s="1"/>
  <c r="D29" i="9"/>
  <c r="E29" i="9" s="1"/>
  <c r="D30" i="9"/>
  <c r="E30" i="9" s="1"/>
  <c r="D31" i="9"/>
  <c r="E31" i="9" s="1"/>
  <c r="D32" i="9"/>
  <c r="E32" i="9" s="1"/>
  <c r="D33" i="9"/>
  <c r="E33" i="9" s="1"/>
  <c r="K20" i="9"/>
  <c r="D20" i="9"/>
  <c r="E20" i="9" s="1"/>
  <c r="K23" i="5"/>
  <c r="L23" i="5" s="1"/>
  <c r="K22" i="5"/>
  <c r="L22" i="5" s="1"/>
  <c r="D26" i="5"/>
  <c r="E26" i="5" s="1"/>
  <c r="D25" i="5"/>
  <c r="E25" i="5" s="1"/>
  <c r="D24" i="5"/>
  <c r="E24" i="5" s="1"/>
  <c r="D23" i="5"/>
  <c r="E23" i="5" s="1"/>
  <c r="D22" i="5"/>
  <c r="E22" i="5" s="1"/>
  <c r="H21" i="4"/>
  <c r="H23" i="4"/>
  <c r="F28" i="4"/>
  <c r="H28" i="4" s="1"/>
  <c r="G101" i="15" l="1"/>
  <c r="G102" i="15"/>
  <c r="J18" i="9"/>
  <c r="H22" i="4"/>
  <c r="F29" i="4"/>
  <c r="N16" i="3"/>
  <c r="N17" i="3"/>
  <c r="N18" i="3"/>
  <c r="N19" i="3"/>
  <c r="N20" i="3"/>
  <c r="N21" i="3"/>
  <c r="N22" i="3"/>
  <c r="N23" i="3"/>
  <c r="N24" i="3"/>
  <c r="N25" i="3"/>
  <c r="N26" i="3"/>
  <c r="L16" i="3"/>
  <c r="L17" i="3"/>
  <c r="L18" i="3"/>
  <c r="L19" i="3"/>
  <c r="L20" i="3"/>
  <c r="L21" i="3"/>
  <c r="L22" i="3"/>
  <c r="L23" i="3"/>
  <c r="L24" i="3"/>
  <c r="L25" i="3"/>
  <c r="L26" i="3"/>
  <c r="J26" i="3"/>
  <c r="H22" i="3"/>
  <c r="H23" i="3"/>
  <c r="H24" i="3"/>
  <c r="H25" i="3"/>
  <c r="H26" i="3"/>
  <c r="E27" i="3"/>
  <c r="F26" i="3"/>
  <c r="F25" i="3"/>
  <c r="F24" i="3"/>
  <c r="F23" i="3"/>
  <c r="F22" i="3"/>
  <c r="H45" i="17" l="1"/>
  <c r="G43" i="17"/>
  <c r="D43" i="17"/>
  <c r="F41" i="17"/>
  <c r="H41" i="17" s="1"/>
  <c r="F40" i="17"/>
  <c r="H40" i="17" s="1"/>
  <c r="F39" i="17"/>
  <c r="H39" i="17" s="1"/>
  <c r="F38" i="17"/>
  <c r="H38" i="17" s="1"/>
  <c r="F37" i="17"/>
  <c r="H37" i="17" s="1"/>
  <c r="F36" i="17"/>
  <c r="H36" i="17" s="1"/>
  <c r="F35" i="17"/>
  <c r="H35" i="17" s="1"/>
  <c r="G32" i="17"/>
  <c r="D32" i="17"/>
  <c r="F30" i="17"/>
  <c r="H30" i="17" s="1"/>
  <c r="F26" i="17"/>
  <c r="H26" i="17" s="1"/>
  <c r="F25" i="17"/>
  <c r="H25" i="17" s="1"/>
  <c r="F24" i="17"/>
  <c r="H24" i="17" s="1"/>
  <c r="H23" i="17"/>
  <c r="H22" i="17"/>
  <c r="H21" i="17"/>
  <c r="K23" i="7"/>
  <c r="L23" i="7" s="1"/>
  <c r="E36" i="6"/>
  <c r="F36" i="6" s="1"/>
  <c r="E35" i="6"/>
  <c r="F35" i="6" s="1"/>
  <c r="E34" i="6"/>
  <c r="F34" i="6" s="1"/>
  <c r="E33" i="6"/>
  <c r="F33" i="6" s="1"/>
  <c r="D46" i="17" l="1"/>
  <c r="G46" i="17"/>
  <c r="F32" i="17"/>
  <c r="H43" i="17"/>
  <c r="H20" i="17"/>
  <c r="H32" i="17" s="1"/>
  <c r="H46" i="17" s="1"/>
  <c r="F43" i="17"/>
  <c r="J15" i="3"/>
  <c r="F46" i="17" l="1"/>
  <c r="G19" i="1" s="1"/>
  <c r="K31" i="11"/>
  <c r="L31" i="11" s="1"/>
  <c r="K30" i="11"/>
  <c r="L30" i="11" s="1"/>
  <c r="K29" i="11"/>
  <c r="L29" i="11" s="1"/>
  <c r="K28" i="11"/>
  <c r="L28" i="11" s="1"/>
  <c r="K27" i="11"/>
  <c r="L27" i="11" s="1"/>
  <c r="K26" i="11"/>
  <c r="L26" i="11" s="1"/>
  <c r="K25" i="11"/>
  <c r="L25" i="11" s="1"/>
  <c r="K24" i="11"/>
  <c r="L24" i="11" s="1"/>
  <c r="K23" i="11"/>
  <c r="L23" i="11" s="1"/>
  <c r="K22" i="11"/>
  <c r="L22" i="11" s="1"/>
  <c r="K21" i="11"/>
  <c r="L21" i="11" s="1"/>
  <c r="L20" i="6"/>
  <c r="E32" i="6"/>
  <c r="F32" i="6" s="1"/>
  <c r="E31" i="6"/>
  <c r="F31" i="6" s="1"/>
  <c r="E30" i="6"/>
  <c r="F30" i="6" s="1"/>
  <c r="E29" i="6"/>
  <c r="F29" i="6" s="1"/>
  <c r="E28" i="6"/>
  <c r="F28" i="6" s="1"/>
  <c r="E27" i="6"/>
  <c r="F27" i="6" s="1"/>
  <c r="E26" i="6"/>
  <c r="F26" i="6" s="1"/>
  <c r="E25" i="6"/>
  <c r="F25" i="6" s="1"/>
  <c r="E24" i="6"/>
  <c r="F24" i="6" s="1"/>
  <c r="E23" i="6"/>
  <c r="F23" i="6" s="1"/>
  <c r="E22" i="6"/>
  <c r="F22" i="6" s="1"/>
  <c r="D22" i="11" l="1"/>
  <c r="E22" i="11" s="1"/>
  <c r="D21" i="11"/>
  <c r="E21" i="11" s="1"/>
  <c r="D20" i="11"/>
  <c r="E20" i="11" s="1"/>
  <c r="K17" i="1" l="1"/>
  <c r="H15" i="3" l="1"/>
  <c r="H16" i="3"/>
  <c r="H17" i="3"/>
  <c r="H18" i="3"/>
  <c r="H19" i="3"/>
  <c r="H20" i="3"/>
  <c r="H21" i="3"/>
  <c r="K36" i="16" l="1"/>
  <c r="L36" i="16" s="1"/>
  <c r="K35" i="16"/>
  <c r="L35" i="16" s="1"/>
  <c r="K34" i="16"/>
  <c r="L34" i="16" s="1"/>
  <c r="K33" i="16"/>
  <c r="L33" i="16" s="1"/>
  <c r="K32" i="16"/>
  <c r="L32" i="16" s="1"/>
  <c r="K31" i="16"/>
  <c r="L31" i="16" s="1"/>
  <c r="K30" i="16"/>
  <c r="L30" i="16" s="1"/>
  <c r="K29" i="16"/>
  <c r="L29" i="16" s="1"/>
  <c r="K28" i="16"/>
  <c r="L28" i="16" s="1"/>
  <c r="K27" i="16"/>
  <c r="L27" i="16" s="1"/>
  <c r="K26" i="16"/>
  <c r="L26" i="16" s="1"/>
  <c r="K25" i="16"/>
  <c r="L25" i="16" s="1"/>
  <c r="K24" i="16"/>
  <c r="L24" i="16" s="1"/>
  <c r="K23" i="16"/>
  <c r="L23" i="16" s="1"/>
  <c r="K22" i="16"/>
  <c r="L22" i="16" s="1"/>
  <c r="K32" i="7"/>
  <c r="L32" i="7" s="1"/>
  <c r="K31" i="7"/>
  <c r="L31" i="7" s="1"/>
  <c r="K30" i="7"/>
  <c r="L30" i="7" s="1"/>
  <c r="K29" i="7"/>
  <c r="L29" i="7" s="1"/>
  <c r="K28" i="7"/>
  <c r="L28" i="7" s="1"/>
  <c r="K27" i="7"/>
  <c r="L27" i="7" s="1"/>
  <c r="K26" i="7"/>
  <c r="L26" i="7" s="1"/>
  <c r="K25" i="7"/>
  <c r="L25" i="7" s="1"/>
  <c r="K24" i="7"/>
  <c r="L24" i="7" s="1"/>
  <c r="K40" i="5"/>
  <c r="L40" i="5" s="1"/>
  <c r="D40" i="5"/>
  <c r="E40" i="5" s="1"/>
  <c r="K39" i="5"/>
  <c r="L39" i="5" s="1"/>
  <c r="D39" i="5"/>
  <c r="E39" i="5" s="1"/>
  <c r="K38" i="5"/>
  <c r="L38" i="5" s="1"/>
  <c r="D38" i="5"/>
  <c r="E38" i="5" s="1"/>
  <c r="K37" i="5"/>
  <c r="L37" i="5" s="1"/>
  <c r="D37" i="5"/>
  <c r="E37" i="5" s="1"/>
  <c r="K36" i="5"/>
  <c r="L36" i="5" s="1"/>
  <c r="D36" i="5"/>
  <c r="E36" i="5" s="1"/>
  <c r="K35" i="5"/>
  <c r="L35" i="5" s="1"/>
  <c r="D35" i="5"/>
  <c r="E35" i="5" s="1"/>
  <c r="K34" i="5"/>
  <c r="L34" i="5" s="1"/>
  <c r="D34" i="5"/>
  <c r="E34" i="5" s="1"/>
  <c r="K33" i="5"/>
  <c r="L33" i="5" s="1"/>
  <c r="D33" i="5"/>
  <c r="E33" i="5" s="1"/>
  <c r="K32" i="5"/>
  <c r="L32" i="5" s="1"/>
  <c r="D32" i="5"/>
  <c r="E32" i="5" s="1"/>
  <c r="K31" i="5"/>
  <c r="L31" i="5" s="1"/>
  <c r="D31" i="5"/>
  <c r="E31" i="5" s="1"/>
  <c r="K30" i="5"/>
  <c r="L30" i="5" s="1"/>
  <c r="D30" i="5"/>
  <c r="E30" i="5" s="1"/>
  <c r="K29" i="5"/>
  <c r="L29" i="5" s="1"/>
  <c r="D29" i="5"/>
  <c r="E29" i="5" s="1"/>
  <c r="K28" i="5"/>
  <c r="L28" i="5" s="1"/>
  <c r="D28" i="5"/>
  <c r="E28" i="5" s="1"/>
  <c r="K27" i="5"/>
  <c r="L27" i="5" s="1"/>
  <c r="D27" i="5"/>
  <c r="E27" i="5" s="1"/>
  <c r="K26" i="5"/>
  <c r="L26" i="5" s="1"/>
  <c r="K25" i="5"/>
  <c r="L25" i="5" s="1"/>
  <c r="K24" i="5"/>
  <c r="L24" i="5" s="1"/>
  <c r="O19" i="1"/>
  <c r="M19" i="1" l="1"/>
  <c r="I19" i="1"/>
  <c r="K20" i="11" l="1"/>
  <c r="L20" i="11" s="1"/>
  <c r="L37" i="6" l="1"/>
  <c r="M37" i="6" s="1"/>
  <c r="L36" i="6"/>
  <c r="M36" i="6" s="1"/>
  <c r="L35" i="6"/>
  <c r="M35" i="6" s="1"/>
  <c r="L34" i="6"/>
  <c r="M34" i="6" s="1"/>
  <c r="L33" i="6"/>
  <c r="M33" i="6" s="1"/>
  <c r="L32" i="6"/>
  <c r="M32" i="6" s="1"/>
  <c r="L31" i="6"/>
  <c r="M31" i="6" s="1"/>
  <c r="L30" i="6"/>
  <c r="M30" i="6" s="1"/>
  <c r="L29" i="6"/>
  <c r="M29" i="6" s="1"/>
  <c r="L28" i="6"/>
  <c r="M28" i="6" s="1"/>
  <c r="L27" i="6"/>
  <c r="M27" i="6" s="1"/>
  <c r="L26" i="6"/>
  <c r="M26" i="6" s="1"/>
  <c r="L25" i="6"/>
  <c r="M25" i="6" s="1"/>
  <c r="L24" i="6"/>
  <c r="M24" i="6" s="1"/>
  <c r="L23" i="6"/>
  <c r="M23" i="6" s="1"/>
  <c r="L22" i="6"/>
  <c r="M22" i="6" s="1"/>
  <c r="M15" i="1" l="1"/>
  <c r="D36" i="16" l="1"/>
  <c r="E36" i="16" s="1"/>
  <c r="D35" i="16"/>
  <c r="E35" i="16" s="1"/>
  <c r="D34" i="16"/>
  <c r="E34" i="16" s="1"/>
  <c r="D33" i="16"/>
  <c r="E33" i="16" s="1"/>
  <c r="D32" i="16"/>
  <c r="E32" i="16" s="1"/>
  <c r="D31" i="16"/>
  <c r="E31" i="16" s="1"/>
  <c r="D30" i="16"/>
  <c r="E30" i="16" s="1"/>
  <c r="D29" i="16"/>
  <c r="E29" i="16" s="1"/>
  <c r="D28" i="16"/>
  <c r="E28" i="16" s="1"/>
  <c r="D27" i="16"/>
  <c r="E27" i="16" s="1"/>
  <c r="D26" i="16"/>
  <c r="E26" i="16" s="1"/>
  <c r="D25" i="16"/>
  <c r="E25" i="16" s="1"/>
  <c r="D24" i="16"/>
  <c r="E24" i="16" s="1"/>
  <c r="D23" i="16"/>
  <c r="E23" i="16" s="1"/>
  <c r="D22" i="16"/>
  <c r="E22" i="16" s="1"/>
  <c r="J20" i="16"/>
  <c r="K24" i="1" s="1"/>
  <c r="C20" i="16"/>
  <c r="D16" i="16"/>
  <c r="D23" i="7"/>
  <c r="E23" i="7" s="1"/>
  <c r="D24" i="7"/>
  <c r="E24" i="7" s="1"/>
  <c r="D25" i="7"/>
  <c r="E25" i="7" s="1"/>
  <c r="D26" i="7"/>
  <c r="E26" i="7" s="1"/>
  <c r="D27" i="7"/>
  <c r="E27" i="7" s="1"/>
  <c r="D28" i="7"/>
  <c r="E28" i="7" s="1"/>
  <c r="D29" i="7"/>
  <c r="E29" i="7" s="1"/>
  <c r="D30" i="7"/>
  <c r="E30" i="7" s="1"/>
  <c r="D31" i="7"/>
  <c r="E31" i="7" s="1"/>
  <c r="D32" i="7"/>
  <c r="E32" i="7" s="1"/>
  <c r="E16" i="16" l="1"/>
  <c r="G24" i="1"/>
  <c r="M16" i="1"/>
  <c r="M27" i="3"/>
  <c r="F16" i="3"/>
  <c r="F17" i="3"/>
  <c r="F18" i="3"/>
  <c r="F19" i="3"/>
  <c r="F20" i="3"/>
  <c r="F21" i="3"/>
  <c r="N15" i="3"/>
  <c r="F33" i="4"/>
  <c r="H33" i="4" s="1"/>
  <c r="F34" i="4"/>
  <c r="H34" i="4" s="1"/>
  <c r="F35" i="4"/>
  <c r="H35" i="4" s="1"/>
  <c r="F36" i="4"/>
  <c r="H36" i="4" s="1"/>
  <c r="H20" i="4"/>
  <c r="I15" i="1"/>
  <c r="I16" i="1" l="1"/>
  <c r="O16" i="1"/>
  <c r="N27" i="3"/>
  <c r="N28" i="3" s="1"/>
  <c r="D16" i="11"/>
  <c r="G25" i="1" s="1"/>
  <c r="N29" i="3" l="1"/>
  <c r="D16" i="9" l="1"/>
  <c r="G23" i="1" s="1"/>
  <c r="D37" i="4" l="1"/>
  <c r="D29" i="4"/>
  <c r="D40" i="4" l="1"/>
  <c r="H39" i="4" l="1"/>
  <c r="G37" i="4"/>
  <c r="F32" i="4"/>
  <c r="G29" i="4"/>
  <c r="K18" i="1" l="1"/>
  <c r="H32" i="4"/>
  <c r="F37" i="4"/>
  <c r="F40" i="4" s="1"/>
  <c r="H29" i="4"/>
  <c r="G18" i="1" l="1"/>
  <c r="H37" i="4"/>
  <c r="H40" i="4" s="1"/>
  <c r="D17" i="14" l="1"/>
  <c r="G27" i="1" s="1"/>
  <c r="K22" i="1"/>
  <c r="D16" i="7"/>
  <c r="G22" i="1" s="1"/>
  <c r="K21" i="1"/>
  <c r="F16" i="6"/>
  <c r="G21" i="1" s="1"/>
  <c r="D16" i="5"/>
  <c r="G20" i="1" s="1"/>
  <c r="K23" i="1"/>
  <c r="Q23" i="1" s="1"/>
  <c r="Q32" i="1" s="1"/>
  <c r="K20" i="1"/>
  <c r="M14" i="1" l="1"/>
  <c r="M24" i="1" l="1"/>
  <c r="M23" i="1"/>
  <c r="M22" i="1"/>
  <c r="M21" i="1"/>
  <c r="M20" i="1"/>
  <c r="D22" i="13"/>
  <c r="G28" i="1" s="1"/>
  <c r="M28" i="1" l="1"/>
  <c r="M27" i="1"/>
  <c r="D28" i="12"/>
  <c r="G26" i="1" l="1"/>
  <c r="K26" i="1"/>
  <c r="K25" i="1"/>
  <c r="M25" i="1" s="1"/>
  <c r="M26" i="1" l="1"/>
  <c r="K27" i="3"/>
  <c r="I27" i="3"/>
  <c r="G27" i="3"/>
  <c r="L15" i="3"/>
  <c r="L27" i="3" s="1"/>
  <c r="H27" i="3"/>
  <c r="F15" i="3"/>
  <c r="F27" i="3" s="1"/>
  <c r="J27" i="3" l="1"/>
  <c r="J28" i="3" s="1"/>
  <c r="J29" i="3" s="1"/>
  <c r="L28" i="3"/>
  <c r="L29" i="3" s="1"/>
  <c r="E7" i="3" s="1"/>
  <c r="F28" i="3"/>
  <c r="F29" i="3" s="1"/>
  <c r="H28" i="3"/>
  <c r="H29" i="3" s="1"/>
  <c r="L30" i="3" l="1"/>
  <c r="L31" i="3" s="1"/>
  <c r="L32" i="3" s="1"/>
  <c r="G17" i="1"/>
  <c r="M17" i="1" l="1"/>
  <c r="G32" i="1"/>
  <c r="I35" i="1"/>
  <c r="O35" i="1"/>
  <c r="K32" i="1"/>
  <c r="O15" i="1"/>
  <c r="O17" i="1"/>
  <c r="O18" i="1"/>
  <c r="O20" i="1"/>
  <c r="O21" i="1"/>
  <c r="O22" i="1"/>
  <c r="O23" i="1"/>
  <c r="O24" i="1"/>
  <c r="O25" i="1"/>
  <c r="O26" i="1"/>
  <c r="O27" i="1"/>
  <c r="O28" i="1"/>
  <c r="K36" i="1" l="1"/>
  <c r="I17" i="1"/>
  <c r="I20" i="1"/>
  <c r="I21" i="1"/>
  <c r="I22" i="1"/>
  <c r="I23" i="1"/>
  <c r="I24" i="1"/>
  <c r="I25" i="1"/>
  <c r="I26" i="1"/>
  <c r="I27" i="1"/>
  <c r="I28" i="1"/>
  <c r="I18" i="1" l="1"/>
  <c r="G36" i="1" l="1"/>
  <c r="M18" i="1"/>
  <c r="M32" i="1" s="1"/>
  <c r="M36" i="1" s="1"/>
  <c r="I33" i="1" l="1"/>
  <c r="O33" i="1"/>
  <c r="E32" i="1" l="1"/>
  <c r="O14" i="1"/>
  <c r="O32" i="1" s="1"/>
  <c r="I14" i="1"/>
  <c r="I32" i="1" s="1"/>
  <c r="I34" i="1" l="1"/>
  <c r="I36" i="1" s="1"/>
  <c r="O34" i="1"/>
  <c r="O36" i="1" s="1"/>
  <c r="E36" i="1"/>
  <c r="Q36" i="1" s="1"/>
  <c r="Q37" i="1" s="1"/>
  <c r="I37" i="1" l="1"/>
</calcChain>
</file>

<file path=xl/sharedStrings.xml><?xml version="1.0" encoding="utf-8"?>
<sst xmlns="http://schemas.openxmlformats.org/spreadsheetml/2006/main" count="1092" uniqueCount="549">
  <si>
    <t>PPTO. REVISADO</t>
  </si>
  <si>
    <t>COSTO REAL</t>
  </si>
  <si>
    <t>No</t>
  </si>
  <si>
    <t>PRESUPUESTOS</t>
  </si>
  <si>
    <t>Constructora MM</t>
  </si>
  <si>
    <t xml:space="preserve">SUBTOTAL  COSTO  DIRECTO </t>
  </si>
  <si>
    <t xml:space="preserve">GASTOS   GENERALES    </t>
  </si>
  <si>
    <t>UTILIDADES</t>
  </si>
  <si>
    <t>TOTAL COSTO DIRECTO</t>
  </si>
  <si>
    <t>UF</t>
  </si>
  <si>
    <t>TOTAL COSTO DIRECTO (UF)</t>
  </si>
  <si>
    <t>Descuento Especial</t>
  </si>
  <si>
    <t>Remuneracion</t>
  </si>
  <si>
    <t>Subcontratos</t>
  </si>
  <si>
    <t>Arriendos</t>
  </si>
  <si>
    <t>Material Obra</t>
  </si>
  <si>
    <t>Material Prevención</t>
  </si>
  <si>
    <t>Seguros</t>
  </si>
  <si>
    <t>Gasto Oficina</t>
  </si>
  <si>
    <t>Herramientas</t>
  </si>
  <si>
    <t>Garantias</t>
  </si>
  <si>
    <t>Gasto Rechazado</t>
  </si>
  <si>
    <t>Gasto Factoring</t>
  </si>
  <si>
    <t>Adicionales</t>
  </si>
  <si>
    <t>Itemizado</t>
  </si>
  <si>
    <r>
      <t xml:space="preserve">Gasto Rechazado </t>
    </r>
    <r>
      <rPr>
        <b/>
        <sz val="11"/>
        <color rgb="FFFF0000"/>
        <rFont val="Helvetica (Cuerpo)_x0000_"/>
      </rPr>
      <t>(boletas caja chica)</t>
    </r>
  </si>
  <si>
    <t>COSTO ESTIMADO</t>
  </si>
  <si>
    <t>UTILIDAD ESTIMADA</t>
  </si>
  <si>
    <t>DESARROLLO REAL DE OBRA</t>
  </si>
  <si>
    <t xml:space="preserve">OBRA : </t>
  </si>
  <si>
    <t>DESARROLLO ESTIMADO DE LA OBRA</t>
  </si>
  <si>
    <t>Total Estimado</t>
  </si>
  <si>
    <t>Real:</t>
  </si>
  <si>
    <t>Personal a Cargo</t>
  </si>
  <si>
    <t>Salario Unitario</t>
  </si>
  <si>
    <t>COSTO</t>
  </si>
  <si>
    <t>Trazador</t>
  </si>
  <si>
    <t>COSTO EMPRESA</t>
  </si>
  <si>
    <t>REAL</t>
  </si>
  <si>
    <t>ESTIMADO</t>
  </si>
  <si>
    <t>EMPRESA SUBCONTRATOS</t>
  </si>
  <si>
    <t>ESPECIALIDAD</t>
  </si>
  <si>
    <t>DIFERENCIA</t>
  </si>
  <si>
    <t>Fecha O/C</t>
  </si>
  <si>
    <t>Neto O/C</t>
  </si>
  <si>
    <t>IVA O/C</t>
  </si>
  <si>
    <t>Total O/C</t>
  </si>
  <si>
    <t>Razón Social</t>
  </si>
  <si>
    <t>Tipo de Pedido</t>
  </si>
  <si>
    <t>Número Factura</t>
  </si>
  <si>
    <t>Fecha Factura</t>
  </si>
  <si>
    <t>Neto Factura</t>
  </si>
  <si>
    <t>IVAFactura</t>
  </si>
  <si>
    <t>Total Factura</t>
  </si>
  <si>
    <t>No/OC</t>
  </si>
  <si>
    <t>Total OC:</t>
  </si>
  <si>
    <t>Total Facturas:</t>
  </si>
  <si>
    <t>MONTO</t>
  </si>
  <si>
    <t>NO SE DEBEN MODIFICAR LAS PALNILLAS DE CONTROL</t>
  </si>
  <si>
    <t xml:space="preserve">CONTROL DE COMPRAS DE HERRAMIENTAS </t>
  </si>
  <si>
    <t>CONTROL DE ARRIENDOS</t>
  </si>
  <si>
    <t xml:space="preserve">CONTROL DE REMUNERACIONES </t>
  </si>
  <si>
    <t>CONTROL DE GARANTIAS</t>
  </si>
  <si>
    <t>EMPRESA</t>
  </si>
  <si>
    <t>TIPO DE GARANTIA</t>
  </si>
  <si>
    <t>Fecha</t>
  </si>
  <si>
    <t>Documento</t>
  </si>
  <si>
    <t>Nº doc.</t>
  </si>
  <si>
    <t>PERS.</t>
  </si>
  <si>
    <t>Proveedor</t>
  </si>
  <si>
    <t>DETALLE</t>
  </si>
  <si>
    <t>Boletas</t>
  </si>
  <si>
    <t>Facturas</t>
  </si>
  <si>
    <t>CONTROL DE CAJA CHICA</t>
  </si>
  <si>
    <t>COSTO DE FACTORING</t>
  </si>
  <si>
    <t>No de EEPP y Facturas</t>
  </si>
  <si>
    <t>Tiempo/Dias</t>
  </si>
  <si>
    <t>UTILIDAD REAL</t>
  </si>
  <si>
    <t xml:space="preserve">SALDO REAL POR GASTAR </t>
  </si>
  <si>
    <t>GASTADO REAL</t>
  </si>
  <si>
    <t>CONTROL DE SEGUROS</t>
  </si>
  <si>
    <t>MES</t>
  </si>
  <si>
    <t>CONTROL DE GASTOS DE MATERIALES</t>
  </si>
  <si>
    <t>CONTROL DE GASTOS MATERIALES DE PREVENCION</t>
  </si>
  <si>
    <t>$</t>
  </si>
  <si>
    <t>MONEDA</t>
  </si>
  <si>
    <t>GASTOS ESTIMADOS AL FIN DEL PROYECTO</t>
  </si>
  <si>
    <t>ACTULIZADO</t>
  </si>
  <si>
    <t>GASTO ESTIMADO</t>
  </si>
  <si>
    <t>Nota:</t>
  </si>
  <si>
    <t>Cierre de subcontratos según PPTT de obra</t>
  </si>
  <si>
    <t>Cierre de Subcontratos</t>
  </si>
  <si>
    <t>OBRA:</t>
  </si>
  <si>
    <t>CONTRATO:</t>
  </si>
  <si>
    <t>FECHA DE INICIO:</t>
  </si>
  <si>
    <t>FECHA DE TERMINO:</t>
  </si>
  <si>
    <t>PPTT $</t>
  </si>
  <si>
    <t xml:space="preserve">% de Gasto </t>
  </si>
  <si>
    <t>Estimado de CIERRES</t>
  </si>
  <si>
    <t xml:space="preserve">Total Obras Civiles </t>
  </si>
  <si>
    <t>SUBCONTRATISTA Especialidades</t>
  </si>
  <si>
    <t xml:space="preserve">Total Instalaciones </t>
  </si>
  <si>
    <t>TOTAL GENERAL</t>
  </si>
  <si>
    <t>Fecha de Partida:</t>
  </si>
  <si>
    <t>Fecha de Entrega :</t>
  </si>
  <si>
    <t>Tiempo de obra en meses:</t>
  </si>
  <si>
    <t>Fecha Actualizado Obra:</t>
  </si>
  <si>
    <t>Meses de ejecución:</t>
  </si>
  <si>
    <t>Actulizado con Finanza:</t>
  </si>
  <si>
    <t>Imposiones</t>
  </si>
  <si>
    <t>TRC</t>
  </si>
  <si>
    <t>RC</t>
  </si>
  <si>
    <t>MAS Herramientas</t>
  </si>
  <si>
    <t>Administrador</t>
  </si>
  <si>
    <t>OF Tecnica</t>
  </si>
  <si>
    <t>Administrativo</t>
  </si>
  <si>
    <t>J.Obra</t>
  </si>
  <si>
    <t>Prevención</t>
  </si>
  <si>
    <t>Prorrateo Oficina Central.</t>
  </si>
  <si>
    <t>Subcontratos Ad</t>
  </si>
  <si>
    <t>Pintura</t>
  </si>
  <si>
    <t>COSTO DIRECTO</t>
  </si>
  <si>
    <t>TOTAL NETO</t>
  </si>
  <si>
    <t>Julio</t>
  </si>
  <si>
    <t>Agosto</t>
  </si>
  <si>
    <t>Septiembre</t>
  </si>
  <si>
    <t>Octubre</t>
  </si>
  <si>
    <t>Capataz</t>
  </si>
  <si>
    <t>Carpintero</t>
  </si>
  <si>
    <t>Albañil</t>
  </si>
  <si>
    <t>Jornal</t>
  </si>
  <si>
    <t>Mantención</t>
  </si>
  <si>
    <t>FC</t>
  </si>
  <si>
    <t>EEPP#1</t>
  </si>
  <si>
    <t>EEPP#2</t>
  </si>
  <si>
    <t>EEPP#3</t>
  </si>
  <si>
    <t>EEPP#4</t>
  </si>
  <si>
    <t>EEPP#5</t>
  </si>
  <si>
    <t>EEPP#6</t>
  </si>
  <si>
    <t>EEPP#7</t>
  </si>
  <si>
    <t>Turno 1 Día</t>
  </si>
  <si>
    <t>Baños Sodimac</t>
  </si>
  <si>
    <t>Código</t>
  </si>
  <si>
    <t>F-2203</t>
  </si>
  <si>
    <t>Versión</t>
  </si>
  <si>
    <t>V0</t>
  </si>
  <si>
    <t>ITEMIZADO REMODELACIÓN BAÑOS COLABORADORES HC LA CALERA</t>
  </si>
  <si>
    <t>FECHA</t>
  </si>
  <si>
    <t>ÍTEM</t>
  </si>
  <si>
    <t>PARTIDAS</t>
  </si>
  <si>
    <t>UNIDAD</t>
  </si>
  <si>
    <t>CANTIDAD</t>
  </si>
  <si>
    <t>P. U ($)</t>
  </si>
  <si>
    <t>P. TOTAL ($)</t>
  </si>
  <si>
    <t>OBSERVACION</t>
  </si>
  <si>
    <t>ACLARACION</t>
  </si>
  <si>
    <t>REMODELACIÓN BAÑOS COLABORADORES</t>
  </si>
  <si>
    <t>1.1</t>
  </si>
  <si>
    <t>OBRAS PROVIAS</t>
  </si>
  <si>
    <t>1.1.1</t>
  </si>
  <si>
    <t>Cierre provisorio.</t>
  </si>
  <si>
    <t>GL</t>
  </si>
  <si>
    <t>1.1.2</t>
  </si>
  <si>
    <t>Bodega de materiales.</t>
  </si>
  <si>
    <t>1.1.3</t>
  </si>
  <si>
    <t>Vestuarios y servicios higiénicos</t>
  </si>
  <si>
    <t>1.1.4</t>
  </si>
  <si>
    <t>Señalizaciones de advertencias</t>
  </si>
  <si>
    <t>1.1.5</t>
  </si>
  <si>
    <t>Replanteo, levantamiento, trazado de niveles.</t>
  </si>
  <si>
    <t>Se ajusta PU</t>
  </si>
  <si>
    <t>1.1.6</t>
  </si>
  <si>
    <t>Desmontaje de piezas sanitarias.</t>
  </si>
  <si>
    <t>uni</t>
  </si>
  <si>
    <t>Se considera retiro de WC, urinario y plato ducha</t>
  </si>
  <si>
    <t>1.1.7</t>
  </si>
  <si>
    <t>Desmontaje de lavamanos.</t>
  </si>
  <si>
    <t>1.1.8</t>
  </si>
  <si>
    <t>Desmontaje de espejo</t>
  </si>
  <si>
    <t>1.1.9</t>
  </si>
  <si>
    <t>Desmontaje de cabinas de baño.</t>
  </si>
  <si>
    <t>1.1.10</t>
  </si>
  <si>
    <t>Demolición de cerámicas en piso y muros.</t>
  </si>
  <si>
    <t>GL/m2</t>
  </si>
  <si>
    <t>1.1.11</t>
  </si>
  <si>
    <t>Demolición tabiquería. (INTERIORES)</t>
  </si>
  <si>
    <t>1.1.12</t>
  </si>
  <si>
    <t>Demolición de cielo.</t>
  </si>
  <si>
    <t>1.1.13</t>
  </si>
  <si>
    <t>Bote de escombros</t>
  </si>
  <si>
    <t>Se considera retiro de escombros nocturnos desde lugar de trabajo hasta tolva y retiro de tolva a primera hora del día</t>
  </si>
  <si>
    <t>1.1.14</t>
  </si>
  <si>
    <t>OTROS</t>
  </si>
  <si>
    <t>1.1.15</t>
  </si>
  <si>
    <t>Retiro de accesorios</t>
  </si>
  <si>
    <t>1.1.16</t>
  </si>
  <si>
    <t>Desmontaje de luminarias existentes</t>
  </si>
  <si>
    <t>1.1.17</t>
  </si>
  <si>
    <t>Retiro de difusores existentes</t>
  </si>
  <si>
    <t>1.1.18</t>
  </si>
  <si>
    <t>Retiro de rejillas piso existentes</t>
  </si>
  <si>
    <t>1.1.19</t>
  </si>
  <si>
    <t>Retiro de puertas existentes</t>
  </si>
  <si>
    <t>1.1.20</t>
  </si>
  <si>
    <t>Retiro de cubierta grano existente</t>
  </si>
  <si>
    <t>1.1.21</t>
  </si>
  <si>
    <t>Retiro tabique perimetral 1 cara</t>
  </si>
  <si>
    <t>m2</t>
  </si>
  <si>
    <t>1.1.22</t>
  </si>
  <si>
    <t>Retiro desagues piso existentes</t>
  </si>
  <si>
    <t>1.1.23</t>
  </si>
  <si>
    <t>Retiro plato ducha existente</t>
  </si>
  <si>
    <t>1.1.24</t>
  </si>
  <si>
    <t>Estadias</t>
  </si>
  <si>
    <t>un</t>
  </si>
  <si>
    <t>1.1.25</t>
  </si>
  <si>
    <t>Traslados</t>
  </si>
  <si>
    <t>1.1.26</t>
  </si>
  <si>
    <t>Pago estacionamiento</t>
  </si>
  <si>
    <t>mes</t>
  </si>
  <si>
    <t>1.1.27</t>
  </si>
  <si>
    <t>Lockers 6 espacios</t>
  </si>
  <si>
    <t>1.1.28</t>
  </si>
  <si>
    <t>Desmontaje y montaje de parlantes existentes</t>
  </si>
  <si>
    <t>gl</t>
  </si>
  <si>
    <t>1.1.29</t>
  </si>
  <si>
    <t xml:space="preserve">Arriendo contenedor </t>
  </si>
  <si>
    <t>Se agrega según requerimiento</t>
  </si>
  <si>
    <t>1.1.30</t>
  </si>
  <si>
    <t>Remarcador electrico monofasico IIFF</t>
  </si>
  <si>
    <t>Se agrega</t>
  </si>
  <si>
    <t>Alimentador para IIFF</t>
  </si>
  <si>
    <t>ml</t>
  </si>
  <si>
    <t>se agrega</t>
  </si>
  <si>
    <t>1.2</t>
  </si>
  <si>
    <t>OOCC ARQUITECTURA</t>
  </si>
  <si>
    <t>1.2.1</t>
  </si>
  <si>
    <t>Impermeabilización en zonas húmedas imprimación cave polflex diluido con refuerzo geotextil de 100gr traslapado de 10cm. En zonas de duchas las paredes hasta 2m.</t>
  </si>
  <si>
    <t>1.2.2</t>
  </si>
  <si>
    <t>Suministro e instalación de porcelanato 60x60, color gris, de HOLZTEK modelo Rustico SKU 261960-1. Instalado con adhesivo tipo Bekron.</t>
  </si>
  <si>
    <t>1.2.3</t>
  </si>
  <si>
    <t>Suministro e instalación de cerámica esmaltada en muros 30x60cm, color blanco brillante, de HOLZTEK SKU:231112-7. Instalado con adhesivo bekron muros.</t>
  </si>
  <si>
    <t>1.2.4</t>
  </si>
  <si>
    <t>Suministro e instalación de canto de PVC típica para cerámica (va en todos los bordes).</t>
  </si>
  <si>
    <t>1.2.5</t>
  </si>
  <si>
    <t xml:space="preserve">Suministro e instalación de Vanitorio cubierta de placa lisa de granito gris MARA o similar. Receptáculo modelo GEBBO marca WASSER. Montado sobre estructura metálica. </t>
  </si>
  <si>
    <t>Se considera solo provisión e instalacion de vanitorios, cubierta y EEMM considerado en OTROS</t>
  </si>
  <si>
    <t>1.2.6</t>
  </si>
  <si>
    <t>Urinario  mural suspendido de porcelana vitrificada modelo Nette marca Wasser. Sifón botella para urinario cromado de wasser. Desagüe para urinario Stil de wasser.</t>
  </si>
  <si>
    <t>1.2.7</t>
  </si>
  <si>
    <t>Fluxor tubo recto para urinario modelo KOLBEN código CW1001000 de WASSER</t>
  </si>
  <si>
    <t>Incluido en APU item 1.2.6</t>
  </si>
  <si>
    <t>1.2.8</t>
  </si>
  <si>
    <t xml:space="preserve">Receptáculo de ducha en obra. </t>
  </si>
  <si>
    <t>1.2.9</t>
  </si>
  <si>
    <t>W.C. de arrastre para fluxor  expuesto, modelo  WIDDER 2 código HU2021001 marca WASSER</t>
  </si>
  <si>
    <t>1.2.10</t>
  </si>
  <si>
    <t>Fluxor expuesto LEREN II WF 6000000</t>
  </si>
  <si>
    <t>Incluido en APU item 1.2.9</t>
  </si>
  <si>
    <t>1.2.11</t>
  </si>
  <si>
    <t>Dispensador de Jabón de acero inoxidable modelo horizontal de Wasser.</t>
  </si>
  <si>
    <t>1.2.12</t>
  </si>
  <si>
    <t>Porta rollo cilindro de acero inoxidable modelo jumbo marca wasser.</t>
  </si>
  <si>
    <t>1.2.13</t>
  </si>
  <si>
    <t>Secador de manos  eléctrico automático modelo Trocken marca Wasser.</t>
  </si>
  <si>
    <t>1.2.14</t>
  </si>
  <si>
    <t>Ducha Antivandálica modelo Lange Weigen Marca Wasser y mezclador temporizador.</t>
  </si>
  <si>
    <t>1.2.15</t>
  </si>
  <si>
    <t>Grifería temporizada Bojen Mix de wasser</t>
  </si>
  <si>
    <t>Incluido en APU item 1.2.14</t>
  </si>
  <si>
    <t>1.2.16</t>
  </si>
  <si>
    <t>Percha simple de acero inoxidable modelo Klug marca wasser.</t>
  </si>
  <si>
    <t>1.2.17</t>
  </si>
  <si>
    <t>Jabonera cromada wasser.</t>
  </si>
  <si>
    <t>1.2.18</t>
  </si>
  <si>
    <t>Espejos</t>
  </si>
  <si>
    <t>1.2.19</t>
  </si>
  <si>
    <t>Divisiones de baño- puertas cabina/ urinarios. Paneles de Resina fenólica sólida, espesor 19mm, blanco. 
Divisiones h=150 EN CABINAS W.C. / h=180cm EN DUCHAS.
Puertas 60x150 EN CABINAS W.C. / 60x180cm EN PUERTAS DE DUCHAS.
Quincallería antivandálica</t>
  </si>
  <si>
    <t>1.2.20</t>
  </si>
  <si>
    <t>Sellado de artefactos Sanitarios.</t>
  </si>
  <si>
    <t xml:space="preserve">Incluido en APU </t>
  </si>
  <si>
    <t>1.2.21</t>
  </si>
  <si>
    <t>Sellado de griferías.</t>
  </si>
  <si>
    <t>1.2.22</t>
  </si>
  <si>
    <t>Corregir pendiente para rejillas.</t>
  </si>
  <si>
    <t>1.2.23</t>
  </si>
  <si>
    <t>Rejillas de desagüe.</t>
  </si>
  <si>
    <t>1.2.24</t>
  </si>
  <si>
    <t>puertas terciadas tipo PLACAROL de e: 45mm revestida con laminado LAMITECH Standard de 1.20mm en ambas caras y cantos. Mouse 2193.
Marco de aluminio anodizado natural 70*25*1,5mm</t>
  </si>
  <si>
    <t>1.2.25</t>
  </si>
  <si>
    <t xml:space="preserve">Cierra puerta hidráulico tipo DORMA MA 200 de DUCASSE. </t>
  </si>
  <si>
    <t>Incluido en APU item 1.2.24</t>
  </si>
  <si>
    <t>1.2.26</t>
  </si>
  <si>
    <t>Cerradura tubular línea Y815 de YALE cód.: 125591, terminación Níquel Satín</t>
  </si>
  <si>
    <t>1.2.27</t>
  </si>
  <si>
    <t>1.2.28</t>
  </si>
  <si>
    <t>Provisión e instalación de cubierta de grano gris mara</t>
  </si>
  <si>
    <t>1.2.29</t>
  </si>
  <si>
    <t>Rejilla desague duchas</t>
  </si>
  <si>
    <t>1.2.30</t>
  </si>
  <si>
    <t>EEMM cubierta</t>
  </si>
  <si>
    <t>kg</t>
  </si>
  <si>
    <t>1.2.31</t>
  </si>
  <si>
    <t>Termo 400lts</t>
  </si>
  <si>
    <t>1.2.32</t>
  </si>
  <si>
    <t>Provisión e instalación rejillas difusores ducha</t>
  </si>
  <si>
    <t>1.2.33</t>
  </si>
  <si>
    <t>Reinstalacion luminaria existente</t>
  </si>
  <si>
    <t>1.2.34</t>
  </si>
  <si>
    <t>Desague duchas</t>
  </si>
  <si>
    <t>1.2.35</t>
  </si>
  <si>
    <t>Bancas de 2,50</t>
  </si>
  <si>
    <t>1.2.36</t>
  </si>
  <si>
    <t>banca tipo L</t>
  </si>
  <si>
    <t>1.2.37</t>
  </si>
  <si>
    <t>Banca chica</t>
  </si>
  <si>
    <t>1.2.38</t>
  </si>
  <si>
    <t>Corniza muro cielo</t>
  </si>
  <si>
    <t>OBRA GRUESA</t>
  </si>
  <si>
    <t>2.1</t>
  </si>
  <si>
    <t>Tabiquería en plancha yeso cartón RH e=15mm (doble cara)</t>
  </si>
  <si>
    <t>2.2</t>
  </si>
  <si>
    <t>Cielo duro en plancha yeso cartón RH e=15mm</t>
  </si>
  <si>
    <t xml:space="preserve">Se considera reutilizar misma estructura en cielo, según aclaración nº </t>
  </si>
  <si>
    <t>2.3</t>
  </si>
  <si>
    <t>Empaste</t>
  </si>
  <si>
    <t>2.4</t>
  </si>
  <si>
    <t>Pintura Chilcomar B-21</t>
  </si>
  <si>
    <t>2.5</t>
  </si>
  <si>
    <t>2.6</t>
  </si>
  <si>
    <t>Zocalo hormigón</t>
  </si>
  <si>
    <t>2.7</t>
  </si>
  <si>
    <t>Tabiquería en plancha yeso cartón RH e=15mm (una cara) perimetral</t>
  </si>
  <si>
    <t>2.8</t>
  </si>
  <si>
    <t>Empaste sobre ceramica</t>
  </si>
  <si>
    <t>2.9</t>
  </si>
  <si>
    <t>Pintura sobre ceramica</t>
  </si>
  <si>
    <t>2.10</t>
  </si>
  <si>
    <t>Mantención tuberias desagues existentes (limpieza)</t>
  </si>
  <si>
    <t>2.11</t>
  </si>
  <si>
    <t>Pintura tabique exterior perimetral</t>
  </si>
  <si>
    <t>GASTO GENERAL</t>
  </si>
  <si>
    <t>%</t>
  </si>
  <si>
    <t>UTILIDAD</t>
  </si>
  <si>
    <t xml:space="preserve">IVA </t>
  </si>
  <si>
    <t>TOTAL</t>
  </si>
  <si>
    <t>NOTA</t>
  </si>
  <si>
    <t>Se considera solo el retiro de revestimiento y placa volcanita en tabique perimetral y se mantendra cara exterior</t>
  </si>
  <si>
    <t>Se consideran 100ml de alimentador para IIFF</t>
  </si>
  <si>
    <t>Noviembre</t>
  </si>
  <si>
    <t>Escombros</t>
  </si>
  <si>
    <t>Sanitario</t>
  </si>
  <si>
    <t>Divissión</t>
  </si>
  <si>
    <t xml:space="preserve">EEMM </t>
  </si>
  <si>
    <t>MM</t>
  </si>
  <si>
    <t>espejo y marco puerta</t>
  </si>
  <si>
    <t>ceramista</t>
  </si>
  <si>
    <t>mueblista</t>
  </si>
  <si>
    <t>CIERRE REAL</t>
  </si>
  <si>
    <t>DPTO 353 CONDOMINIO RAVELLO</t>
  </si>
  <si>
    <t>77.944.666-2</t>
  </si>
  <si>
    <t>CORREDORA LUZ MARIA CORREA</t>
  </si>
  <si>
    <t>DPTO 752 CONDOMINIO RAVELLO</t>
  </si>
  <si>
    <t>11.520.369-K</t>
  </si>
  <si>
    <t>CORREDORA YARELA YOVANNA</t>
  </si>
  <si>
    <t>FENOLICO EXPRESS</t>
  </si>
  <si>
    <t>78007082-K</t>
  </si>
  <si>
    <t>DIVISIONES FENOLICAS</t>
  </si>
  <si>
    <t>MUEBLES VANITORIO Y BANCAS</t>
  </si>
  <si>
    <t>JONATHAN PARDO</t>
  </si>
  <si>
    <t>18.512.369-3</t>
  </si>
  <si>
    <t>GASFITER</t>
  </si>
  <si>
    <t>CERAMISTA</t>
  </si>
  <si>
    <t xml:space="preserve">LUIS URBINA </t>
  </si>
  <si>
    <t>PINTOR</t>
  </si>
  <si>
    <t>Wyg Ingnieria Spa</t>
  </si>
  <si>
    <t>77.953.777-3</t>
  </si>
  <si>
    <t>ELECTRICO CONEXIÓN CONTENEDO</t>
  </si>
  <si>
    <t>ALEX YAÑEZ</t>
  </si>
  <si>
    <t>3447</t>
  </si>
  <si>
    <t>3451</t>
  </si>
  <si>
    <t>3452</t>
  </si>
  <si>
    <t>3453</t>
  </si>
  <si>
    <t>3454</t>
  </si>
  <si>
    <t>3458</t>
  </si>
  <si>
    <t>3456</t>
  </si>
  <si>
    <t>3457</t>
  </si>
  <si>
    <t>3461</t>
  </si>
  <si>
    <t>3460</t>
  </si>
  <si>
    <t>3463</t>
  </si>
  <si>
    <t>3462</t>
  </si>
  <si>
    <t>3464</t>
  </si>
  <si>
    <t>3466</t>
  </si>
  <si>
    <t>3467</t>
  </si>
  <si>
    <t>3471</t>
  </si>
  <si>
    <t>3469</t>
  </si>
  <si>
    <t>FACTURA</t>
  </si>
  <si>
    <t>492170</t>
  </si>
  <si>
    <t>S.R.</t>
  </si>
  <si>
    <t>combustibles san luis</t>
  </si>
  <si>
    <t>VIAJE LOS ANDES</t>
  </si>
  <si>
    <t>SOC COMERCIALIZADORA SIETEMAS</t>
  </si>
  <si>
    <t>SOCIEDAD COMERCIAL RINCON LIMITADA</t>
  </si>
  <si>
    <t>boleta</t>
  </si>
  <si>
    <t>FAST FOOD CHILE SA</t>
  </si>
  <si>
    <t>ALMUERZO LOS ANDES JAVIER SIMON</t>
  </si>
  <si>
    <t>131387</t>
  </si>
  <si>
    <t>COMERCIAL ALEGRO LIMITADA</t>
  </si>
  <si>
    <t>VIAJE LA CALERA, SERVICIO LIMPIEZA CAMIOENTA</t>
  </si>
  <si>
    <t>GREEN PARKING SYSTEM SPA</t>
  </si>
  <si>
    <t>ESTACIONAMIENTO LA CALERA</t>
  </si>
  <si>
    <t>BOLETA</t>
  </si>
  <si>
    <t>NET PARKING</t>
  </si>
  <si>
    <t>ESTACIONAMIENTO OFICINA CENTRAL</t>
  </si>
  <si>
    <t>KFC</t>
  </si>
  <si>
    <t>ALMUERZO SIMON</t>
  </si>
  <si>
    <t>PETROBRAS CHILE</t>
  </si>
  <si>
    <t>PASAJES PAULO, LUIS, JAVIER, FRANCISCO</t>
  </si>
  <si>
    <t xml:space="preserve">ESMAS RED </t>
  </si>
  <si>
    <t>SODIMAC</t>
  </si>
  <si>
    <t>DISCO DE CORTE PAULO</t>
  </si>
  <si>
    <t>MATERIALES VARIOS PAULO</t>
  </si>
  <si>
    <t>DISCOS DE CORTE PAULO</t>
  </si>
  <si>
    <t>LAPIZ LOPEZ</t>
  </si>
  <si>
    <t>LIBRO OBRA ASISTENCIA</t>
  </si>
  <si>
    <t>CELL BOUTIQUE</t>
  </si>
  <si>
    <t>SOPORTE CEL Y CARGADOR CAMIONETA</t>
  </si>
  <si>
    <t>ESTACIONAMIENTO PAULO, LUIS, JAVIER</t>
  </si>
  <si>
    <t>ADMINISTRADORA VENTAS</t>
  </si>
  <si>
    <t>VIAJE LA CALERA</t>
  </si>
  <si>
    <t>ICE CREEM SA</t>
  </si>
  <si>
    <t>CAFÉ REUNION EQUIPO MM</t>
  </si>
  <si>
    <t>PIHUEN LIMITADA</t>
  </si>
  <si>
    <t>TOTTUS</t>
  </si>
  <si>
    <t>REUNION DE OBRA HECTOR</t>
  </si>
  <si>
    <t>ALMUERZO SIMON, HECTOR, JORGE HECTOR</t>
  </si>
  <si>
    <t>PJ CHILE</t>
  </si>
  <si>
    <t>MANUEL ROCHA</t>
  </si>
  <si>
    <t>COPIA LLAVES OFICINA</t>
  </si>
  <si>
    <t>ARAMARK LIMITADA</t>
  </si>
  <si>
    <t>ALMUERZOS</t>
  </si>
  <si>
    <t>CAJA 2</t>
  </si>
  <si>
    <t>NETOS</t>
  </si>
  <si>
    <t>28/08/2025</t>
  </si>
  <si>
    <t>CONSTRUCTORA MM</t>
  </si>
  <si>
    <t xml:space="preserve">Código: </t>
  </si>
  <si>
    <t>Revisión:</t>
  </si>
  <si>
    <t>LISTADO DE ADICIONALES Y/O DISMINUCIONES</t>
  </si>
  <si>
    <t xml:space="preserve">OBRA: </t>
  </si>
  <si>
    <t>REMODELACION SALÓN DE EVENTOS H.I.</t>
  </si>
  <si>
    <t>VALOR PRESUPUESTO NETO ADJUDICADO</t>
  </si>
  <si>
    <t>FECHA:</t>
  </si>
  <si>
    <t>Porcentaje de Adicionales presentado</t>
  </si>
  <si>
    <t>Nº</t>
  </si>
  <si>
    <t>FECHA DE SOLICITUD</t>
  </si>
  <si>
    <t>FECHA PRESENTACIÓN</t>
  </si>
  <si>
    <t>FECHA APROBACIÓN</t>
  </si>
  <si>
    <t>DÍAS SIN RESPUESTA</t>
  </si>
  <si>
    <t>REV</t>
  </si>
  <si>
    <t>ESTADO 
CA: Concepto Aprobado
A: Aprobado
P: Pendiente R:Rechazado</t>
  </si>
  <si>
    <t>DESCRIPCION</t>
  </si>
  <si>
    <t xml:space="preserve">Fecha limite de resolución sin impacto en el programa </t>
  </si>
  <si>
    <t xml:space="preserve">% DE AVANCE EJECUTADO </t>
  </si>
  <si>
    <t xml:space="preserve">MONTO PRESENTADO (PESO)
</t>
  </si>
  <si>
    <t xml:space="preserve">MONTO APROBADO (PESO)
</t>
  </si>
  <si>
    <t>OC</t>
  </si>
  <si>
    <t>FACTURACIÓN</t>
  </si>
  <si>
    <t xml:space="preserve">ADICIONALES </t>
  </si>
  <si>
    <t>INSTALACIONES SANITARIAS</t>
  </si>
  <si>
    <t>A</t>
  </si>
  <si>
    <t>pendiente</t>
  </si>
  <si>
    <t>ARQUITECTURA</t>
  </si>
  <si>
    <t>R</t>
  </si>
  <si>
    <t>PUERTAS DUCHAS</t>
  </si>
  <si>
    <t>SUB-TOTAL</t>
  </si>
  <si>
    <t>LIQUIDACIONES DE SUELDO REALES</t>
  </si>
  <si>
    <t>Total Haberes</t>
  </si>
  <si>
    <t>Aporte empleador</t>
  </si>
  <si>
    <t>agosto</t>
  </si>
  <si>
    <t>septiembre</t>
  </si>
  <si>
    <t>Razón social  Fabrica de Muebles LM SPA</t>
  </si>
  <si>
    <t>78229023-1</t>
  </si>
  <si>
    <t>SERVICIOS DE CONSTRUCCION JADER SPA</t>
  </si>
  <si>
    <t>78.037.274-5</t>
  </si>
  <si>
    <t>ESPEJOS MARCO DE PUERTA</t>
  </si>
  <si>
    <t>TOTAL SUBCONTRATOS</t>
  </si>
  <si>
    <t>WOGE</t>
  </si>
  <si>
    <t>77.573.776-K</t>
  </si>
  <si>
    <t>CUBREJUNTA</t>
  </si>
  <si>
    <t>HN</t>
  </si>
  <si>
    <t xml:space="preserve">ESTACIONAMIENTO </t>
  </si>
  <si>
    <t>COMERCIAL PAIHUEN LTDA</t>
  </si>
  <si>
    <t>PETROLEO CAMIONETA</t>
  </si>
  <si>
    <t>SERVICIOS DE SEGURIDADUNDS</t>
  </si>
  <si>
    <t>ESTACIONAMIENTO LOS ANDES</t>
  </si>
  <si>
    <t>CAJA 3</t>
  </si>
  <si>
    <t>CAJA 4</t>
  </si>
  <si>
    <t>PF</t>
  </si>
  <si>
    <t>YESO, TAPA CIEGA PVC</t>
  </si>
  <si>
    <t>LLAVE PASO REFORZADA</t>
  </si>
  <si>
    <t>HUAIPE, DILUYENTE</t>
  </si>
  <si>
    <t>GREEN PARKING</t>
  </si>
  <si>
    <t>ESTACIONAMIENTO</t>
  </si>
  <si>
    <t>SPRY, ADHESIVO AGOREX ESPONJA</t>
  </si>
  <si>
    <t>BUSHING BR 1/2X3/8</t>
  </si>
  <si>
    <t>TAPA CIEGA</t>
  </si>
  <si>
    <t>ANCLAJE T/MARIPOSA</t>
  </si>
  <si>
    <t>CAJA 5</t>
  </si>
  <si>
    <t>SR</t>
  </si>
  <si>
    <t>MATERIALES VARIOS</t>
  </si>
  <si>
    <t>SEPARADORES PLASTICOS</t>
  </si>
  <si>
    <t>ADMINISTRADORA DE VENTAS</t>
  </si>
  <si>
    <t>DIESEL VIAJE A LA CALERA</t>
  </si>
  <si>
    <t>ALMUERZO</t>
  </si>
  <si>
    <t>Compras del mes de Agosto 2025</t>
  </si>
  <si>
    <t>AD 01 REUBICACION DE CANALIZACION POR MURO DE TERMO ELECTRICO.REV1</t>
  </si>
  <si>
    <t>AD 03 CAMBIO DE LLAVE DE CORTE BAÑO HOMBRES.REV2</t>
  </si>
  <si>
    <t>AD 04 HERRAJES BAÑOS Y CUBREJUNTA.rev1</t>
  </si>
  <si>
    <t>AD 05 TIRADORES CUBICULOS WC</t>
  </si>
  <si>
    <t>AD 06 NUEVAS LLAVES DE PASO HOMBRES Y MUJERES.rev1</t>
  </si>
  <si>
    <t>AD 07 NUEVA LLAVE DE PASO DUCHAS MUJERES.REV1</t>
  </si>
  <si>
    <t>AD 08 ELIMINACION DE PUNTOS AP E INSTALACION PROVISORIA DE TERMO EXISTENTE</t>
  </si>
  <si>
    <t>P</t>
  </si>
  <si>
    <t>AD 09CORTA VISTA Y RIGIDIZADOR DE TABIQUES FENOLICOS EN SECTOR DE WC</t>
  </si>
  <si>
    <t>AD10 FIJACION DE CAÑERIAS</t>
  </si>
  <si>
    <t>AGOSTO</t>
  </si>
  <si>
    <t>PANADERIA LA BAGUETTE</t>
  </si>
  <si>
    <t>EMPANADAS 18 SEPTIEMBRE</t>
  </si>
  <si>
    <t>ARCHIVADOR</t>
  </si>
  <si>
    <t>ESPONJA</t>
  </si>
  <si>
    <t>BALON GAS, TAPA PVC TAPAGORRO</t>
  </si>
  <si>
    <t>AJI PEBRE, COCA COLA, TOALLA PAPEL</t>
  </si>
  <si>
    <t>ADAPTADOR BLANCO</t>
  </si>
  <si>
    <t>COMERCIAL Y SERVICIOS SAN IGNACIO</t>
  </si>
  <si>
    <t>ARTICULOS VARIOS</t>
  </si>
  <si>
    <t>ESCOBILLON PLASTICO</t>
  </si>
  <si>
    <t>SANGUCHERIA TOLOLO</t>
  </si>
  <si>
    <t>COLACION SIMON HN, JG</t>
  </si>
  <si>
    <t>ADMINISTRADORA DE VENTAS AL DETAL</t>
  </si>
  <si>
    <t>DIESEL TRASLADO</t>
  </si>
  <si>
    <t>SACOS DE ESCOMBROS</t>
  </si>
  <si>
    <t xml:space="preserve">CENCOSUD </t>
  </si>
  <si>
    <t>ESTACIONAMIENTO LA FLORIDA</t>
  </si>
  <si>
    <t>ALMUERZO BERNARDO VLADEBENITO</t>
  </si>
  <si>
    <t>LUIS C</t>
  </si>
  <si>
    <t>BERNARDO</t>
  </si>
  <si>
    <t>TURBUS</t>
  </si>
  <si>
    <t>VIAJE IDA LA CALERA</t>
  </si>
  <si>
    <t>CAJA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</si>
</sst>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2" formatCode="_ &quot;$&quot;* #,##0_ ;_ &quot;$&quot;* \-#,##0_ ;_ &quot;$&quot;* &quot;-&quot;_ ;_ @_ "/>
    <numFmt numFmtId="41" formatCode="_ * #,##0_ ;_ * \-#,##0_ ;_ * &quot;-&quot;_ ;_ @_ "/>
    <numFmt numFmtId="44" formatCode="_ &quot;$&quot;* #,##0.00_ ;_ &quot;$&quot;* \-#,##0.00_ ;_ &quot;$&quot;* &quot;-&quot;??_ ;_ @_ "/>
    <numFmt numFmtId="164" formatCode="_(&quot;$&quot;* #,##0_);_(&quot;$&quot;* \(#,##0\);_(&quot;$&quot;* &quot;-&quot;_);_(@_)"/>
    <numFmt numFmtId="165" formatCode="_(* #,##0.00_);_(* \(#,##0.00\);_(* &quot;-&quot;??_);_(@_)"/>
    <numFmt numFmtId="166" formatCode="_-&quot;$&quot;* #,##0_-;\-&quot;$&quot;* #,##0_-;_-&quot;$&quot;* &quot;-&quot;_-;_-@_-"/>
    <numFmt numFmtId="167" formatCode="_-* #,##0_-;\-* #,##0_-;_-* &quot;-&quot;_-;_-@_-"/>
    <numFmt numFmtId="168" formatCode="_-&quot;$&quot;* #,##0.00_-;\-&quot;$&quot;* #,##0.00_-;_-&quot;$&quot;* &quot;-&quot;??_-;_-@_-"/>
    <numFmt numFmtId="169" formatCode="_-* #,##0.00_-;\-* #,##0.00_-;_-* &quot;-&quot;??_-;_-@_-"/>
    <numFmt numFmtId="170" formatCode="&quot; &quot;&quot;$&quot;&quot; &quot;* #,##0&quot; &quot;;&quot;-&quot;&quot;$&quot;&quot; &quot;* #,##0&quot; &quot;;&quot; &quot;&quot;$&quot;&quot; &quot;* &quot;-&quot;??&quot; &quot;"/>
    <numFmt numFmtId="171" formatCode="_-[$$-340A]\ * #,##0_-;\-[$$-340A]\ * #,##0_-;_-[$$-340A]\ * &quot;-&quot;_-;_-@_-"/>
    <numFmt numFmtId="172" formatCode="dd/mm/yy;@"/>
    <numFmt numFmtId="173" formatCode="_-&quot;$&quot;\ * #,##0_-;\-&quot;$&quot;\ * #,##0_-;_-&quot;$&quot;\ * &quot;-&quot;??_-;_-@_-"/>
    <numFmt numFmtId="174" formatCode="[$-1540A]dd/mmm/yy;@"/>
    <numFmt numFmtId="175" formatCode="_-* #,##0.0_-;\-* #,##0.0_-;_-* &quot;-&quot;_-;_-@_-"/>
    <numFmt numFmtId="176" formatCode="_-* #,##0.00_-;\-* #,##0.00_-;_-* &quot;-&quot;_-;_-@_-"/>
    <numFmt numFmtId="177" formatCode="&quot; &quot;&quot;$&quot;&quot; &quot;* #,##0.00&quot; &quot;;&quot;-&quot;&quot;$&quot;&quot; &quot;* #,##0.00&quot; &quot;;&quot; &quot;&quot;$&quot;&quot; &quot;* &quot;-&quot;??&quot; &quot;"/>
    <numFmt numFmtId="178" formatCode="_-&quot;$&quot;* #,##0.00_-;\-&quot;$&quot;* #,##0.00_-;_-&quot;$&quot;* &quot;-&quot;_-;_-@_-"/>
    <numFmt numFmtId="179" formatCode="_-[$$-340A]\ * #,##0.00_-;\-[$$-340A]\ * #,##0.00_-;_-[$$-340A]\ * &quot;-&quot;_-;_-@_-"/>
    <numFmt numFmtId="180" formatCode="[$-C0A]d\-mmm\-yy;@"/>
    <numFmt numFmtId="181" formatCode="[$-1540A]m/d/yyyy;@"/>
    <numFmt numFmtId="182" formatCode="_ &quot;$&quot;* #,##0.00_ ;_ &quot;$&quot;* \-#,##0.00_ ;_ &quot;$&quot;* &quot;-&quot;_ ;_ @_ "/>
  </numFmts>
  <fonts count="83">
    <font>
      <sz val="10"/>
      <color indexed="8"/>
      <name val="Helvetica"/>
    </font>
    <font>
      <sz val="11"/>
      <color theme="1"/>
      <name val="Helvetica"/>
      <family val="2"/>
      <scheme val="minor"/>
    </font>
    <font>
      <sz val="11"/>
      <color indexed="8"/>
      <name val="Calibri"/>
      <family val="2"/>
    </font>
    <font>
      <sz val="12"/>
      <color indexed="8"/>
      <name val="Geneva"/>
      <family val="2"/>
    </font>
    <font>
      <sz val="11"/>
      <color indexed="8"/>
      <name val="Geneva"/>
      <family val="2"/>
    </font>
    <font>
      <sz val="10"/>
      <color indexed="8"/>
      <name val="Geneva"/>
      <family val="2"/>
    </font>
    <font>
      <sz val="9"/>
      <color indexed="8"/>
      <name val="Geneva"/>
      <family val="2"/>
    </font>
    <font>
      <sz val="14"/>
      <color indexed="8"/>
      <name val="Geneva"/>
      <family val="2"/>
    </font>
    <font>
      <b/>
      <sz val="11"/>
      <color indexed="8"/>
      <name val="Calibri"/>
      <family val="2"/>
    </font>
    <font>
      <u/>
      <sz val="10"/>
      <color theme="10"/>
      <name val="Helvetica"/>
      <family val="2"/>
    </font>
    <font>
      <u/>
      <sz val="10"/>
      <color theme="11"/>
      <name val="Helvetica"/>
      <family val="2"/>
    </font>
    <font>
      <sz val="8"/>
      <name val="Helvetica"/>
      <family val="2"/>
    </font>
    <font>
      <b/>
      <sz val="14"/>
      <color indexed="8"/>
      <name val="Geneva"/>
      <family val="2"/>
    </font>
    <font>
      <b/>
      <sz val="16"/>
      <color indexed="8"/>
      <name val="Geneva"/>
      <family val="2"/>
    </font>
    <font>
      <b/>
      <sz val="12"/>
      <color indexed="8"/>
      <name val="Geneva"/>
      <family val="2"/>
    </font>
    <font>
      <b/>
      <sz val="10"/>
      <color indexed="8"/>
      <name val="Helvetica"/>
      <family val="2"/>
    </font>
    <font>
      <sz val="10"/>
      <name val="Arial"/>
      <family val="2"/>
    </font>
    <font>
      <sz val="10"/>
      <color rgb="FFFF0000"/>
      <name val="Geneva"/>
      <family val="2"/>
    </font>
    <font>
      <sz val="11"/>
      <color rgb="FFFF0000"/>
      <name val="Calibri"/>
      <family val="2"/>
    </font>
    <font>
      <sz val="12"/>
      <color rgb="FFFF0000"/>
      <name val="Geneva"/>
      <family val="2"/>
    </font>
    <font>
      <b/>
      <sz val="10"/>
      <color rgb="FFFF0000"/>
      <name val="Geneva"/>
      <family val="2"/>
    </font>
    <font>
      <sz val="11"/>
      <name val="Helvetica"/>
      <family val="2"/>
      <scheme val="minor"/>
    </font>
    <font>
      <b/>
      <sz val="11"/>
      <color rgb="FFFF0000"/>
      <name val="Helvetica (Cuerpo)_x0000_"/>
    </font>
    <font>
      <b/>
      <sz val="16"/>
      <color indexed="8"/>
      <name val="Calibri"/>
      <family val="2"/>
    </font>
    <font>
      <sz val="10"/>
      <color indexed="8"/>
      <name val="Helvetica"/>
      <family val="2"/>
    </font>
    <font>
      <b/>
      <sz val="11"/>
      <color theme="1"/>
      <name val="Helvetica"/>
      <family val="2"/>
      <scheme val="minor"/>
    </font>
    <font>
      <b/>
      <sz val="11"/>
      <color theme="0"/>
      <name val="Helvetica"/>
      <family val="2"/>
      <scheme val="minor"/>
    </font>
    <font>
      <sz val="11"/>
      <color theme="1"/>
      <name val="Helvetica"/>
      <family val="2"/>
      <scheme val="minor"/>
    </font>
    <font>
      <b/>
      <sz val="16"/>
      <color indexed="8"/>
      <name val="Helvetica"/>
      <family val="2"/>
    </font>
    <font>
      <sz val="10"/>
      <name val="Helvetica"/>
      <family val="2"/>
    </font>
    <font>
      <b/>
      <sz val="14"/>
      <color indexed="8"/>
      <name val="Helvetica"/>
      <family val="2"/>
    </font>
    <font>
      <sz val="10"/>
      <color indexed="8"/>
      <name val="Helvetica"/>
      <family val="2"/>
    </font>
    <font>
      <b/>
      <sz val="12"/>
      <color indexed="8"/>
      <name val="Helvetica"/>
      <family val="2"/>
    </font>
    <font>
      <b/>
      <sz val="18"/>
      <color indexed="8"/>
      <name val="Helvetica"/>
      <family val="2"/>
    </font>
    <font>
      <b/>
      <sz val="12"/>
      <color theme="0"/>
      <name val="Helvetica"/>
      <family val="2"/>
    </font>
    <font>
      <b/>
      <sz val="12"/>
      <color theme="1" tint="4.9989318521683403E-2"/>
      <name val="Century Gothic"/>
      <family val="2"/>
    </font>
    <font>
      <b/>
      <sz val="10"/>
      <color theme="1" tint="4.9989318521683403E-2"/>
      <name val="Century Gothic"/>
      <family val="2"/>
    </font>
    <font>
      <sz val="10"/>
      <name val="Century Gothic"/>
      <family val="2"/>
    </font>
    <font>
      <sz val="10"/>
      <color theme="1" tint="4.9989318521683403E-2"/>
      <name val="Century Gothic"/>
      <family val="2"/>
    </font>
    <font>
      <sz val="10"/>
      <color theme="1" tint="4.9989318521683403E-2"/>
      <name val="Arial"/>
      <family val="2"/>
    </font>
    <font>
      <b/>
      <sz val="12"/>
      <name val="Arial"/>
      <family val="2"/>
    </font>
    <font>
      <b/>
      <sz val="12"/>
      <color rgb="FFFF0000"/>
      <name val="Geneva"/>
      <family val="2"/>
    </font>
    <font>
      <b/>
      <sz val="14"/>
      <color indexed="8"/>
      <name val="Calibri"/>
      <family val="2"/>
    </font>
    <font>
      <b/>
      <sz val="11"/>
      <color indexed="8"/>
      <name val="Geneva"/>
      <family val="2"/>
    </font>
    <font>
      <sz val="10"/>
      <color theme="8"/>
      <name val="Geneva"/>
      <family val="2"/>
    </font>
    <font>
      <sz val="10"/>
      <color indexed="8"/>
      <name val="Helvetica"/>
      <family val="2"/>
    </font>
    <font>
      <b/>
      <sz val="10"/>
      <name val="Arial"/>
      <family val="2"/>
    </font>
    <font>
      <b/>
      <sz val="10"/>
      <color rgb="FF000000"/>
      <name val="Century Gothic"/>
      <family val="2"/>
    </font>
    <font>
      <sz val="10"/>
      <color rgb="FF000000"/>
      <name val="Century Gothic"/>
      <family val="2"/>
    </font>
    <font>
      <sz val="14"/>
      <color indexed="8"/>
      <name val="Calibri"/>
      <family val="2"/>
    </font>
    <font>
      <sz val="10"/>
      <name val="Geneva"/>
      <family val="2"/>
    </font>
    <font>
      <b/>
      <sz val="11"/>
      <color rgb="FFFF0000"/>
      <name val="Helvetica"/>
      <family val="2"/>
      <scheme val="minor"/>
    </font>
    <font>
      <b/>
      <sz val="10"/>
      <color indexed="8"/>
      <name val="Helvetica"/>
      <family val="2"/>
    </font>
    <font>
      <sz val="10"/>
      <color indexed="8"/>
      <name val="Bahnschrift Light Condensed"/>
      <family val="2"/>
    </font>
    <font>
      <sz val="11"/>
      <color indexed="60"/>
      <name val="Calibri"/>
      <family val="2"/>
    </font>
    <font>
      <sz val="11"/>
      <color theme="8"/>
      <name val="Helvetica"/>
      <family val="2"/>
      <scheme val="minor"/>
    </font>
    <font>
      <sz val="8"/>
      <color indexed="8"/>
      <name val="Tahoma"/>
      <family val="2"/>
    </font>
    <font>
      <sz val="14"/>
      <color theme="1"/>
      <name val="Helvetica"/>
      <family val="2"/>
      <scheme val="minor"/>
    </font>
    <font>
      <sz val="12"/>
      <color indexed="8"/>
      <name val="Helvetica"/>
      <family val="2"/>
      <scheme val="minor"/>
    </font>
    <font>
      <b/>
      <sz val="12"/>
      <color indexed="8"/>
      <name val="Helvetica"/>
      <family val="2"/>
      <scheme val="minor"/>
    </font>
    <font>
      <b/>
      <sz val="12"/>
      <color theme="0"/>
      <name val="Helvetica"/>
      <family val="2"/>
      <scheme val="minor"/>
    </font>
    <font>
      <sz val="12"/>
      <name val="Helvetica"/>
      <family val="2"/>
      <scheme val="minor"/>
    </font>
    <font>
      <b/>
      <sz val="12"/>
      <color theme="1"/>
      <name val="Helvetica"/>
      <family val="2"/>
      <scheme val="minor"/>
    </font>
    <font>
      <sz val="10"/>
      <color theme="1"/>
      <name val="Arial"/>
      <family val="2"/>
    </font>
    <font>
      <b/>
      <sz val="11"/>
      <color theme="1" tint="4.9989318521683403E-2"/>
      <name val="Arial"/>
      <family val="2"/>
    </font>
    <font>
      <b/>
      <sz val="12"/>
      <color theme="1" tint="4.9989318521683403E-2"/>
      <name val="Arial"/>
      <family val="2"/>
    </font>
    <font>
      <sz val="10"/>
      <color rgb="FF000000"/>
      <name val="Helvetica"/>
      <family val="2"/>
    </font>
    <font>
      <b/>
      <sz val="16"/>
      <color theme="1"/>
      <name val="Helvetica"/>
      <family val="2"/>
      <scheme val="minor"/>
    </font>
    <font>
      <b/>
      <sz val="14"/>
      <color theme="1"/>
      <name val="Helvetica"/>
      <family val="2"/>
      <scheme val="minor"/>
    </font>
    <font>
      <sz val="8"/>
      <color theme="1"/>
      <name val="Helvetica"/>
      <family val="2"/>
      <scheme val="minor"/>
    </font>
    <font>
      <b/>
      <sz val="12"/>
      <name val="Helvetica"/>
      <family val="2"/>
      <scheme val="minor"/>
    </font>
    <font>
      <sz val="12"/>
      <color rgb="FF000000"/>
      <name val="Helvetica"/>
      <family val="2"/>
    </font>
    <font>
      <sz val="12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2"/>
      <color theme="4" tint="-0.499984740745262"/>
      <name val="Arial"/>
      <family val="2"/>
    </font>
    <font>
      <b/>
      <sz val="14"/>
      <name val="Helvetica"/>
      <family val="2"/>
      <scheme val="minor"/>
    </font>
    <font>
      <sz val="14"/>
      <color theme="1"/>
      <name val="Arial"/>
      <family val="2"/>
    </font>
    <font>
      <b/>
      <sz val="14"/>
      <color theme="4" tint="-0.499984740745262"/>
      <name val="Arial"/>
      <family val="2"/>
    </font>
    <font>
      <b/>
      <sz val="14"/>
      <color rgb="FFFF0000"/>
      <name val="Arial"/>
      <family val="2"/>
    </font>
    <font>
      <b/>
      <sz val="10"/>
      <color rgb="FFFF0000"/>
      <name val="Helvetica"/>
      <family val="2"/>
    </font>
    <font>
      <sz val="8.0500000000000007"/>
      <color indexed="8"/>
      <name val="Times New Roman"/>
      <family val="1"/>
    </font>
    <font>
      <b/>
      <sz val="11"/>
      <color theme="1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0.39997558519241921"/>
        <bgColor indexed="64"/>
      </patternFill>
    </fill>
    <fill>
      <patternFill patternType="solid">
        <fgColor indexed="43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3B2DE"/>
        <bgColor auto="1"/>
      </patternFill>
    </fill>
  </fills>
  <borders count="13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9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indexed="64"/>
      </right>
      <top style="hair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hair">
        <color auto="1"/>
      </top>
      <bottom style="hair">
        <color indexed="64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/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2" tint="-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89">
    <xf numFmtId="0" fontId="0" fillId="0" borderId="0" applyNumberFormat="0" applyFill="0" applyBorder="0" applyProtection="0">
      <alignment vertical="top" wrapText="1"/>
    </xf>
    <xf numFmtId="0" fontId="9" fillId="0" borderId="0" applyNumberFormat="0" applyFill="0" applyBorder="0" applyAlignment="0" applyProtection="0">
      <alignment vertical="top" wrapText="1"/>
    </xf>
    <xf numFmtId="0" fontId="10" fillId="0" borderId="0" applyNumberFormat="0" applyFill="0" applyBorder="0" applyAlignment="0" applyProtection="0">
      <alignment vertical="top" wrapText="1"/>
    </xf>
    <xf numFmtId="0" fontId="9" fillId="0" borderId="0" applyNumberFormat="0" applyFill="0" applyBorder="0" applyAlignment="0" applyProtection="0">
      <alignment vertical="top" wrapText="1"/>
    </xf>
    <xf numFmtId="0" fontId="10" fillId="0" borderId="0" applyNumberFormat="0" applyFill="0" applyBorder="0" applyAlignment="0" applyProtection="0">
      <alignment vertical="top" wrapText="1"/>
    </xf>
    <xf numFmtId="0" fontId="9" fillId="0" borderId="0" applyNumberFormat="0" applyFill="0" applyBorder="0" applyAlignment="0" applyProtection="0">
      <alignment vertical="top" wrapText="1"/>
    </xf>
    <xf numFmtId="0" fontId="10" fillId="0" borderId="0" applyNumberFormat="0" applyFill="0" applyBorder="0" applyAlignment="0" applyProtection="0">
      <alignment vertical="top" wrapText="1"/>
    </xf>
    <xf numFmtId="0" fontId="9" fillId="0" borderId="0" applyNumberFormat="0" applyFill="0" applyBorder="0" applyAlignment="0" applyProtection="0">
      <alignment vertical="top" wrapText="1"/>
    </xf>
    <xf numFmtId="0" fontId="10" fillId="0" borderId="0" applyNumberFormat="0" applyFill="0" applyBorder="0" applyAlignment="0" applyProtection="0">
      <alignment vertical="top" wrapText="1"/>
    </xf>
    <xf numFmtId="0" fontId="16" fillId="0" borderId="11"/>
    <xf numFmtId="169" fontId="16" fillId="0" borderId="11" applyFont="0" applyFill="0" applyBorder="0" applyAlignment="0" applyProtection="0"/>
    <xf numFmtId="0" fontId="16" fillId="0" borderId="11"/>
    <xf numFmtId="0" fontId="10" fillId="0" borderId="0" applyNumberFormat="0" applyFill="0" applyBorder="0" applyAlignment="0" applyProtection="0">
      <alignment vertical="top" wrapText="1"/>
    </xf>
    <xf numFmtId="0" fontId="10" fillId="0" borderId="0" applyNumberFormat="0" applyFill="0" applyBorder="0" applyAlignment="0" applyProtection="0">
      <alignment vertical="top" wrapText="1"/>
    </xf>
    <xf numFmtId="0" fontId="10" fillId="0" borderId="0" applyNumberFormat="0" applyFill="0" applyBorder="0" applyAlignment="0" applyProtection="0">
      <alignment vertical="top" wrapText="1"/>
    </xf>
    <xf numFmtId="0" fontId="10" fillId="0" borderId="0" applyNumberFormat="0" applyFill="0" applyBorder="0" applyAlignment="0" applyProtection="0">
      <alignment vertical="top" wrapText="1"/>
    </xf>
    <xf numFmtId="0" fontId="10" fillId="0" borderId="0" applyNumberFormat="0" applyFill="0" applyBorder="0" applyAlignment="0" applyProtection="0">
      <alignment vertical="top" wrapText="1"/>
    </xf>
    <xf numFmtId="0" fontId="10" fillId="0" borderId="0" applyNumberFormat="0" applyFill="0" applyBorder="0" applyAlignment="0" applyProtection="0">
      <alignment vertical="top" wrapText="1"/>
    </xf>
    <xf numFmtId="0" fontId="10" fillId="0" borderId="0" applyNumberFormat="0" applyFill="0" applyBorder="0" applyAlignment="0" applyProtection="0">
      <alignment vertical="top" wrapText="1"/>
    </xf>
    <xf numFmtId="0" fontId="10" fillId="0" borderId="0" applyNumberFormat="0" applyFill="0" applyBorder="0" applyAlignment="0" applyProtection="0">
      <alignment vertical="top" wrapText="1"/>
    </xf>
    <xf numFmtId="0" fontId="10" fillId="0" borderId="0" applyNumberFormat="0" applyFill="0" applyBorder="0" applyAlignment="0" applyProtection="0">
      <alignment vertical="top" wrapText="1"/>
    </xf>
    <xf numFmtId="0" fontId="10" fillId="0" borderId="0" applyNumberFormat="0" applyFill="0" applyBorder="0" applyAlignment="0" applyProtection="0">
      <alignment vertical="top" wrapText="1"/>
    </xf>
    <xf numFmtId="0" fontId="10" fillId="0" borderId="0" applyNumberFormat="0" applyFill="0" applyBorder="0" applyAlignment="0" applyProtection="0">
      <alignment vertical="top" wrapText="1"/>
    </xf>
    <xf numFmtId="0" fontId="10" fillId="0" borderId="0" applyNumberFormat="0" applyFill="0" applyBorder="0" applyAlignment="0" applyProtection="0">
      <alignment vertical="top" wrapText="1"/>
    </xf>
    <xf numFmtId="0" fontId="10" fillId="0" borderId="0" applyNumberFormat="0" applyFill="0" applyBorder="0" applyAlignment="0" applyProtection="0">
      <alignment vertical="top" wrapText="1"/>
    </xf>
    <xf numFmtId="0" fontId="10" fillId="0" borderId="0" applyNumberFormat="0" applyFill="0" applyBorder="0" applyAlignment="0" applyProtection="0">
      <alignment vertical="top" wrapText="1"/>
    </xf>
    <xf numFmtId="0" fontId="10" fillId="0" borderId="0" applyNumberFormat="0" applyFill="0" applyBorder="0" applyAlignment="0" applyProtection="0">
      <alignment vertical="top" wrapText="1"/>
    </xf>
    <xf numFmtId="0" fontId="10" fillId="0" borderId="0" applyNumberFormat="0" applyFill="0" applyBorder="0" applyAlignment="0" applyProtection="0">
      <alignment vertical="top" wrapText="1"/>
    </xf>
    <xf numFmtId="0" fontId="10" fillId="0" borderId="0" applyNumberFormat="0" applyFill="0" applyBorder="0" applyAlignment="0" applyProtection="0">
      <alignment vertical="top" wrapText="1"/>
    </xf>
    <xf numFmtId="0" fontId="10" fillId="0" borderId="0" applyNumberFormat="0" applyFill="0" applyBorder="0" applyAlignment="0" applyProtection="0">
      <alignment vertical="top" wrapText="1"/>
    </xf>
    <xf numFmtId="0" fontId="10" fillId="0" borderId="0" applyNumberFormat="0" applyFill="0" applyBorder="0" applyAlignment="0" applyProtection="0">
      <alignment vertical="top" wrapText="1"/>
    </xf>
    <xf numFmtId="0" fontId="10" fillId="0" borderId="0" applyNumberFormat="0" applyFill="0" applyBorder="0" applyAlignment="0" applyProtection="0">
      <alignment vertical="top" wrapText="1"/>
    </xf>
    <xf numFmtId="0" fontId="10" fillId="0" borderId="0" applyNumberFormat="0" applyFill="0" applyBorder="0" applyAlignment="0" applyProtection="0">
      <alignment vertical="top" wrapText="1"/>
    </xf>
    <xf numFmtId="0" fontId="10" fillId="0" borderId="0" applyNumberFormat="0" applyFill="0" applyBorder="0" applyAlignment="0" applyProtection="0">
      <alignment vertical="top" wrapText="1"/>
    </xf>
    <xf numFmtId="0" fontId="10" fillId="0" borderId="0" applyNumberFormat="0" applyFill="0" applyBorder="0" applyAlignment="0" applyProtection="0">
      <alignment vertical="top" wrapText="1"/>
    </xf>
    <xf numFmtId="0" fontId="10" fillId="0" borderId="0" applyNumberFormat="0" applyFill="0" applyBorder="0" applyAlignment="0" applyProtection="0">
      <alignment vertical="top" wrapText="1"/>
    </xf>
    <xf numFmtId="0" fontId="10" fillId="0" borderId="0" applyNumberFormat="0" applyFill="0" applyBorder="0" applyAlignment="0" applyProtection="0">
      <alignment vertical="top" wrapText="1"/>
    </xf>
    <xf numFmtId="0" fontId="10" fillId="0" borderId="0" applyNumberFormat="0" applyFill="0" applyBorder="0" applyAlignment="0" applyProtection="0">
      <alignment vertical="top" wrapText="1"/>
    </xf>
    <xf numFmtId="0" fontId="10" fillId="0" borderId="0" applyNumberFormat="0" applyFill="0" applyBorder="0" applyAlignment="0" applyProtection="0">
      <alignment vertical="top" wrapText="1"/>
    </xf>
    <xf numFmtId="0" fontId="10" fillId="0" borderId="0" applyNumberFormat="0" applyFill="0" applyBorder="0" applyAlignment="0" applyProtection="0">
      <alignment vertical="top" wrapText="1"/>
    </xf>
    <xf numFmtId="0" fontId="10" fillId="0" borderId="0" applyNumberFormat="0" applyFill="0" applyBorder="0" applyAlignment="0" applyProtection="0">
      <alignment vertical="top" wrapText="1"/>
    </xf>
    <xf numFmtId="0" fontId="10" fillId="0" borderId="0" applyNumberFormat="0" applyFill="0" applyBorder="0" applyAlignment="0" applyProtection="0">
      <alignment vertical="top" wrapText="1"/>
    </xf>
    <xf numFmtId="0" fontId="10" fillId="0" borderId="0" applyNumberFormat="0" applyFill="0" applyBorder="0" applyAlignment="0" applyProtection="0">
      <alignment vertical="top" wrapText="1"/>
    </xf>
    <xf numFmtId="0" fontId="10" fillId="0" borderId="0" applyNumberFormat="0" applyFill="0" applyBorder="0" applyAlignment="0" applyProtection="0">
      <alignment vertical="top" wrapText="1"/>
    </xf>
    <xf numFmtId="0" fontId="10" fillId="0" borderId="0" applyNumberFormat="0" applyFill="0" applyBorder="0" applyAlignment="0" applyProtection="0">
      <alignment vertical="top" wrapText="1"/>
    </xf>
    <xf numFmtId="0" fontId="10" fillId="0" borderId="0" applyNumberFormat="0" applyFill="0" applyBorder="0" applyAlignment="0" applyProtection="0">
      <alignment vertical="top" wrapText="1"/>
    </xf>
    <xf numFmtId="0" fontId="10" fillId="0" borderId="0" applyNumberFormat="0" applyFill="0" applyBorder="0" applyAlignment="0" applyProtection="0">
      <alignment vertical="top" wrapText="1"/>
    </xf>
    <xf numFmtId="0" fontId="10" fillId="0" borderId="0" applyNumberFormat="0" applyFill="0" applyBorder="0" applyAlignment="0" applyProtection="0">
      <alignment vertical="top" wrapText="1"/>
    </xf>
    <xf numFmtId="0" fontId="10" fillId="0" borderId="0" applyNumberFormat="0" applyFill="0" applyBorder="0" applyAlignment="0" applyProtection="0">
      <alignment vertical="top" wrapText="1"/>
    </xf>
    <xf numFmtId="0" fontId="10" fillId="0" borderId="0" applyNumberFormat="0" applyFill="0" applyBorder="0" applyAlignment="0" applyProtection="0">
      <alignment vertical="top" wrapText="1"/>
    </xf>
    <xf numFmtId="0" fontId="10" fillId="0" borderId="0" applyNumberFormat="0" applyFill="0" applyBorder="0" applyAlignment="0" applyProtection="0">
      <alignment vertical="top" wrapText="1"/>
    </xf>
    <xf numFmtId="0" fontId="10" fillId="0" borderId="0" applyNumberFormat="0" applyFill="0" applyBorder="0" applyAlignment="0" applyProtection="0">
      <alignment vertical="top" wrapText="1"/>
    </xf>
    <xf numFmtId="0" fontId="10" fillId="0" borderId="0" applyNumberFormat="0" applyFill="0" applyBorder="0" applyAlignment="0" applyProtection="0">
      <alignment vertical="top" wrapText="1"/>
    </xf>
    <xf numFmtId="0" fontId="10" fillId="0" borderId="0" applyNumberFormat="0" applyFill="0" applyBorder="0" applyAlignment="0" applyProtection="0">
      <alignment vertical="top" wrapText="1"/>
    </xf>
    <xf numFmtId="0" fontId="10" fillId="0" borderId="0" applyNumberFormat="0" applyFill="0" applyBorder="0" applyAlignment="0" applyProtection="0">
      <alignment vertical="top" wrapText="1"/>
    </xf>
    <xf numFmtId="0" fontId="10" fillId="0" borderId="0" applyNumberFormat="0" applyFill="0" applyBorder="0" applyAlignment="0" applyProtection="0">
      <alignment vertical="top" wrapText="1"/>
    </xf>
    <xf numFmtId="0" fontId="10" fillId="0" borderId="0" applyNumberFormat="0" applyFill="0" applyBorder="0" applyAlignment="0" applyProtection="0">
      <alignment vertical="top" wrapText="1"/>
    </xf>
    <xf numFmtId="0" fontId="10" fillId="0" borderId="0" applyNumberFormat="0" applyFill="0" applyBorder="0" applyAlignment="0" applyProtection="0">
      <alignment vertical="top" wrapText="1"/>
    </xf>
    <xf numFmtId="0" fontId="10" fillId="0" borderId="0" applyNumberFormat="0" applyFill="0" applyBorder="0" applyAlignment="0" applyProtection="0">
      <alignment vertical="top" wrapText="1"/>
    </xf>
    <xf numFmtId="0" fontId="10" fillId="0" borderId="0" applyNumberFormat="0" applyFill="0" applyBorder="0" applyAlignment="0" applyProtection="0">
      <alignment vertical="top" wrapText="1"/>
    </xf>
    <xf numFmtId="0" fontId="10" fillId="0" borderId="0" applyNumberFormat="0" applyFill="0" applyBorder="0" applyAlignment="0" applyProtection="0">
      <alignment vertical="top" wrapText="1"/>
    </xf>
    <xf numFmtId="0" fontId="10" fillId="0" borderId="0" applyNumberFormat="0" applyFill="0" applyBorder="0" applyAlignment="0" applyProtection="0">
      <alignment vertical="top" wrapText="1"/>
    </xf>
    <xf numFmtId="0" fontId="10" fillId="0" borderId="0" applyNumberFormat="0" applyFill="0" applyBorder="0" applyAlignment="0" applyProtection="0">
      <alignment vertical="top" wrapText="1"/>
    </xf>
    <xf numFmtId="0" fontId="10" fillId="0" borderId="0" applyNumberFormat="0" applyFill="0" applyBorder="0" applyAlignment="0" applyProtection="0">
      <alignment vertical="top" wrapText="1"/>
    </xf>
    <xf numFmtId="0" fontId="10" fillId="0" borderId="0" applyNumberFormat="0" applyFill="0" applyBorder="0" applyAlignment="0" applyProtection="0">
      <alignment vertical="top" wrapText="1"/>
    </xf>
    <xf numFmtId="0" fontId="10" fillId="0" borderId="0" applyNumberFormat="0" applyFill="0" applyBorder="0" applyAlignment="0" applyProtection="0">
      <alignment vertical="top" wrapText="1"/>
    </xf>
    <xf numFmtId="0" fontId="10" fillId="0" borderId="0" applyNumberFormat="0" applyFill="0" applyBorder="0" applyAlignment="0" applyProtection="0">
      <alignment vertical="top" wrapText="1"/>
    </xf>
    <xf numFmtId="0" fontId="10" fillId="0" borderId="0" applyNumberFormat="0" applyFill="0" applyBorder="0" applyAlignment="0" applyProtection="0">
      <alignment vertical="top" wrapText="1"/>
    </xf>
    <xf numFmtId="0" fontId="10" fillId="0" borderId="0" applyNumberFormat="0" applyFill="0" applyBorder="0" applyAlignment="0" applyProtection="0">
      <alignment vertical="top" wrapText="1"/>
    </xf>
    <xf numFmtId="0" fontId="10" fillId="0" borderId="0" applyNumberFormat="0" applyFill="0" applyBorder="0" applyAlignment="0" applyProtection="0">
      <alignment vertical="top" wrapText="1"/>
    </xf>
    <xf numFmtId="0" fontId="10" fillId="0" borderId="0" applyNumberFormat="0" applyFill="0" applyBorder="0" applyAlignment="0" applyProtection="0">
      <alignment vertical="top" wrapText="1"/>
    </xf>
    <xf numFmtId="0" fontId="10" fillId="0" borderId="0" applyNumberFormat="0" applyFill="0" applyBorder="0" applyAlignment="0" applyProtection="0">
      <alignment vertical="top" wrapText="1"/>
    </xf>
    <xf numFmtId="166" fontId="24" fillId="0" borderId="0" applyFont="0" applyFill="0" applyBorder="0" applyAlignment="0" applyProtection="0"/>
    <xf numFmtId="0" fontId="27" fillId="0" borderId="11"/>
    <xf numFmtId="0" fontId="16" fillId="0" borderId="11"/>
    <xf numFmtId="0" fontId="16" fillId="0" borderId="11"/>
    <xf numFmtId="169" fontId="31" fillId="0" borderId="0" applyFont="0" applyFill="0" applyBorder="0" applyAlignment="0" applyProtection="0"/>
    <xf numFmtId="168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27" fillId="0" borderId="11"/>
    <xf numFmtId="167" fontId="45" fillId="0" borderId="0" applyFont="0" applyFill="0" applyBorder="0" applyAlignment="0" applyProtection="0"/>
    <xf numFmtId="169" fontId="16" fillId="0" borderId="11" applyFont="0" applyFill="0" applyBorder="0" applyAlignment="0" applyProtection="0"/>
    <xf numFmtId="0" fontId="54" fillId="14" borderId="11" applyNumberFormat="0" applyBorder="0" applyAlignment="0" applyProtection="0"/>
    <xf numFmtId="0" fontId="8" fillId="0" borderId="83" applyNumberFormat="0" applyFill="0" applyAlignment="0" applyProtection="0"/>
    <xf numFmtId="0" fontId="56" fillId="0" borderId="11"/>
    <xf numFmtId="166" fontId="24" fillId="0" borderId="11" applyFont="0" applyFill="0" applyBorder="0" applyAlignment="0" applyProtection="0"/>
    <xf numFmtId="0" fontId="1" fillId="0" borderId="11"/>
    <xf numFmtId="44" fontId="1" fillId="0" borderId="11" applyFont="0" applyFill="0" applyBorder="0" applyAlignment="0" applyProtection="0"/>
    <xf numFmtId="44" fontId="1" fillId="0" borderId="11" applyFont="0" applyFill="0" applyBorder="0" applyAlignment="0" applyProtection="0"/>
  </cellStyleXfs>
  <cellXfs count="755">
    <xf numFmtId="0" fontId="0" fillId="0" borderId="0" xfId="0">
      <alignment vertical="top" wrapText="1"/>
    </xf>
    <xf numFmtId="0" fontId="2" fillId="0" borderId="0" xfId="0" applyNumberFormat="1" applyFont="1" applyAlignment="1"/>
    <xf numFmtId="3" fontId="2" fillId="0" borderId="1" xfId="0" applyNumberFormat="1" applyFont="1" applyBorder="1" applyAlignment="1"/>
    <xf numFmtId="0" fontId="2" fillId="0" borderId="1" xfId="0" applyFont="1" applyBorder="1" applyAlignment="1"/>
    <xf numFmtId="3" fontId="2" fillId="0" borderId="4" xfId="0" applyNumberFormat="1" applyFont="1" applyBorder="1" applyAlignment="1"/>
    <xf numFmtId="3" fontId="5" fillId="0" borderId="5" xfId="0" applyNumberFormat="1" applyFont="1" applyBorder="1" applyAlignment="1"/>
    <xf numFmtId="49" fontId="4" fillId="2" borderId="3" xfId="0" applyNumberFormat="1" applyFont="1" applyFill="1" applyBorder="1" applyAlignment="1">
      <alignment horizontal="center" vertical="center"/>
    </xf>
    <xf numFmtId="3" fontId="5" fillId="0" borderId="3" xfId="0" applyNumberFormat="1" applyFont="1" applyBorder="1" applyAlignment="1">
      <alignment horizontal="center" vertical="center"/>
    </xf>
    <xf numFmtId="3" fontId="2" fillId="0" borderId="3" xfId="0" applyNumberFormat="1" applyFont="1" applyBorder="1" applyAlignment="1">
      <alignment horizontal="center" vertical="center"/>
    </xf>
    <xf numFmtId="9" fontId="3" fillId="0" borderId="3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left"/>
    </xf>
    <xf numFmtId="170" fontId="2" fillId="0" borderId="1" xfId="0" applyNumberFormat="1" applyFont="1" applyBorder="1" applyAlignment="1"/>
    <xf numFmtId="0" fontId="8" fillId="0" borderId="0" xfId="0" applyNumberFormat="1" applyFont="1" applyAlignment="1"/>
    <xf numFmtId="0" fontId="15" fillId="0" borderId="0" xfId="0" applyFont="1">
      <alignment vertical="top" wrapText="1"/>
    </xf>
    <xf numFmtId="3" fontId="5" fillId="0" borderId="13" xfId="0" applyNumberFormat="1" applyFont="1" applyBorder="1" applyAlignment="1">
      <alignment horizontal="center" vertical="center"/>
    </xf>
    <xf numFmtId="9" fontId="3" fillId="0" borderId="12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left" vertical="center"/>
    </xf>
    <xf numFmtId="3" fontId="2" fillId="0" borderId="12" xfId="0" applyNumberFormat="1" applyFont="1" applyBorder="1" applyAlignment="1">
      <alignment horizontal="left" vertical="center"/>
    </xf>
    <xf numFmtId="3" fontId="17" fillId="0" borderId="13" xfId="0" applyNumberFormat="1" applyFont="1" applyBorder="1" applyAlignment="1">
      <alignment horizontal="center" vertical="center"/>
    </xf>
    <xf numFmtId="9" fontId="19" fillId="0" borderId="12" xfId="0" applyNumberFormat="1" applyFont="1" applyBorder="1" applyAlignment="1">
      <alignment horizontal="center" vertical="center"/>
    </xf>
    <xf numFmtId="0" fontId="0" fillId="0" borderId="19" xfId="0" applyBorder="1">
      <alignment vertical="top" wrapText="1"/>
    </xf>
    <xf numFmtId="49" fontId="4" fillId="3" borderId="3" xfId="0" applyNumberFormat="1" applyFont="1" applyFill="1" applyBorder="1" applyAlignment="1">
      <alignment horizontal="center" vertical="center"/>
    </xf>
    <xf numFmtId="3" fontId="2" fillId="0" borderId="20" xfId="0" applyNumberFormat="1" applyFont="1" applyBorder="1" applyAlignment="1"/>
    <xf numFmtId="0" fontId="2" fillId="0" borderId="21" xfId="0" applyFont="1" applyBorder="1" applyAlignment="1"/>
    <xf numFmtId="3" fontId="2" fillId="0" borderId="21" xfId="0" applyNumberFormat="1" applyFont="1" applyBorder="1" applyAlignment="1"/>
    <xf numFmtId="3" fontId="3" fillId="0" borderId="22" xfId="0" applyNumberFormat="1" applyFont="1" applyBorder="1" applyAlignment="1">
      <alignment horizontal="center" vertical="center"/>
    </xf>
    <xf numFmtId="0" fontId="0" fillId="0" borderId="26" xfId="0" applyBorder="1">
      <alignment vertical="top" wrapText="1"/>
    </xf>
    <xf numFmtId="0" fontId="0" fillId="0" borderId="29" xfId="0" applyBorder="1">
      <alignment vertical="top" wrapText="1"/>
    </xf>
    <xf numFmtId="0" fontId="0" fillId="0" borderId="23" xfId="0" applyFill="1" applyBorder="1" applyAlignment="1">
      <alignment horizontal="right" vertical="top" wrapText="1"/>
    </xf>
    <xf numFmtId="0" fontId="0" fillId="3" borderId="23" xfId="0" applyFill="1" applyBorder="1" applyAlignment="1">
      <alignment horizontal="right" vertical="top" wrapText="1"/>
    </xf>
    <xf numFmtId="0" fontId="0" fillId="0" borderId="30" xfId="0" applyBorder="1">
      <alignment vertical="top" wrapText="1"/>
    </xf>
    <xf numFmtId="0" fontId="0" fillId="0" borderId="27" xfId="0" applyBorder="1">
      <alignment vertical="top" wrapText="1"/>
    </xf>
    <xf numFmtId="0" fontId="0" fillId="0" borderId="0" xfId="0" applyAlignment="1"/>
    <xf numFmtId="14" fontId="25" fillId="5" borderId="28" xfId="0" applyNumberFormat="1" applyFont="1" applyFill="1" applyBorder="1" applyAlignment="1">
      <alignment horizontal="center" vertical="center"/>
    </xf>
    <xf numFmtId="0" fontId="26" fillId="6" borderId="28" xfId="0" applyFont="1" applyFill="1" applyBorder="1" applyAlignment="1">
      <alignment horizontal="center" vertical="center"/>
    </xf>
    <xf numFmtId="0" fontId="25" fillId="5" borderId="28" xfId="0" applyFont="1" applyFill="1" applyBorder="1" applyAlignment="1">
      <alignment horizontal="right"/>
    </xf>
    <xf numFmtId="0" fontId="25" fillId="5" borderId="28" xfId="0" applyFont="1" applyFill="1" applyBorder="1" applyAlignment="1">
      <alignment horizontal="center"/>
    </xf>
    <xf numFmtId="166" fontId="0" fillId="0" borderId="28" xfId="72" applyFont="1" applyBorder="1"/>
    <xf numFmtId="166" fontId="0" fillId="0" borderId="28" xfId="0" applyNumberFormat="1" applyFill="1" applyBorder="1" applyAlignment="1">
      <alignment horizontal="center"/>
    </xf>
    <xf numFmtId="0" fontId="0" fillId="4" borderId="32" xfId="0" applyFill="1" applyBorder="1" applyAlignment="1">
      <alignment horizontal="center"/>
    </xf>
    <xf numFmtId="166" fontId="0" fillId="4" borderId="28" xfId="0" applyNumberFormat="1" applyFill="1" applyBorder="1" applyAlignment="1">
      <alignment horizontal="center"/>
    </xf>
    <xf numFmtId="0" fontId="0" fillId="0" borderId="0" xfId="0" applyAlignment="1">
      <alignment horizontal="right"/>
    </xf>
    <xf numFmtId="166" fontId="0" fillId="0" borderId="11" xfId="72" applyFont="1" applyFill="1" applyBorder="1" applyAlignment="1">
      <alignment horizontal="center"/>
    </xf>
    <xf numFmtId="0" fontId="0" fillId="0" borderId="0" xfId="0" applyAlignment="1">
      <alignment horizontal="center"/>
    </xf>
    <xf numFmtId="166" fontId="25" fillId="6" borderId="31" xfId="0" applyNumberFormat="1" applyFont="1" applyFill="1" applyBorder="1" applyAlignment="1"/>
    <xf numFmtId="0" fontId="0" fillId="4" borderId="0" xfId="0" applyFill="1" applyAlignment="1">
      <alignment horizontal="center"/>
    </xf>
    <xf numFmtId="9" fontId="24" fillId="0" borderId="19" xfId="0" applyNumberFormat="1" applyFont="1" applyBorder="1" applyAlignment="1">
      <alignment horizontal="center" vertical="top" wrapText="1"/>
    </xf>
    <xf numFmtId="166" fontId="0" fillId="0" borderId="19" xfId="0" applyNumberFormat="1" applyBorder="1" applyAlignment="1">
      <alignment horizontal="center" vertical="top" wrapText="1"/>
    </xf>
    <xf numFmtId="9" fontId="24" fillId="4" borderId="19" xfId="0" applyNumberFormat="1" applyFont="1" applyFill="1" applyBorder="1" applyAlignment="1">
      <alignment horizontal="center" vertical="top" wrapText="1"/>
    </xf>
    <xf numFmtId="166" fontId="0" fillId="4" borderId="19" xfId="0" applyNumberFormat="1" applyFill="1" applyBorder="1" applyAlignment="1">
      <alignment horizontal="center" vertical="top" wrapText="1"/>
    </xf>
    <xf numFmtId="0" fontId="15" fillId="0" borderId="19" xfId="0" applyFont="1" applyBorder="1" applyAlignment="1">
      <alignment horizontal="center" vertical="top" wrapText="1"/>
    </xf>
    <xf numFmtId="166" fontId="15" fillId="6" borderId="19" xfId="0" applyNumberFormat="1" applyFont="1" applyFill="1" applyBorder="1" applyAlignment="1">
      <alignment horizontal="center" vertical="top" wrapText="1"/>
    </xf>
    <xf numFmtId="0" fontId="15" fillId="4" borderId="19" xfId="0" applyFont="1" applyFill="1" applyBorder="1" applyAlignment="1">
      <alignment horizontal="center" vertical="top" wrapText="1"/>
    </xf>
    <xf numFmtId="171" fontId="15" fillId="3" borderId="19" xfId="0" applyNumberFormat="1" applyFont="1" applyFill="1" applyBorder="1">
      <alignment vertical="top" wrapText="1"/>
    </xf>
    <xf numFmtId="0" fontId="15" fillId="3" borderId="19" xfId="0" applyFont="1" applyFill="1" applyBorder="1">
      <alignment vertical="top" wrapText="1"/>
    </xf>
    <xf numFmtId="0" fontId="15" fillId="3" borderId="19" xfId="0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top" wrapText="1"/>
    </xf>
    <xf numFmtId="49" fontId="24" fillId="0" borderId="23" xfId="0" applyNumberFormat="1" applyFont="1" applyFill="1" applyBorder="1">
      <alignment vertical="top" wrapText="1"/>
    </xf>
    <xf numFmtId="0" fontId="0" fillId="0" borderId="23" xfId="0" applyBorder="1">
      <alignment vertical="top" wrapText="1"/>
    </xf>
    <xf numFmtId="166" fontId="29" fillId="7" borderId="23" xfId="72" applyFont="1" applyFill="1" applyBorder="1" applyAlignment="1">
      <alignment vertical="top" wrapText="1"/>
    </xf>
    <xf numFmtId="0" fontId="24" fillId="0" borderId="23" xfId="0" applyFont="1" applyFill="1" applyBorder="1">
      <alignment vertical="top" wrapText="1"/>
    </xf>
    <xf numFmtId="0" fontId="0" fillId="0" borderId="33" xfId="0" applyBorder="1">
      <alignment vertical="top" wrapText="1"/>
    </xf>
    <xf numFmtId="0" fontId="0" fillId="0" borderId="34" xfId="0" applyBorder="1">
      <alignment vertical="top" wrapText="1"/>
    </xf>
    <xf numFmtId="0" fontId="15" fillId="8" borderId="28" xfId="0" applyFont="1" applyFill="1" applyBorder="1" applyAlignment="1">
      <alignment horizontal="center" vertical="center" wrapText="1"/>
    </xf>
    <xf numFmtId="14" fontId="25" fillId="4" borderId="28" xfId="0" applyNumberFormat="1" applyFont="1" applyFill="1" applyBorder="1" applyAlignment="1">
      <alignment horizontal="center" vertical="center"/>
    </xf>
    <xf numFmtId="0" fontId="25" fillId="4" borderId="28" xfId="0" applyFont="1" applyFill="1" applyBorder="1" applyAlignment="1">
      <alignment horizontal="center" vertical="center"/>
    </xf>
    <xf numFmtId="0" fontId="25" fillId="9" borderId="28" xfId="0" applyFont="1" applyFill="1" applyBorder="1" applyAlignment="1">
      <alignment horizontal="center" vertical="center"/>
    </xf>
    <xf numFmtId="0" fontId="0" fillId="0" borderId="28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>
      <alignment vertical="top" wrapText="1"/>
    </xf>
    <xf numFmtId="0" fontId="0" fillId="0" borderId="11" xfId="0" applyBorder="1" applyAlignment="1">
      <alignment vertical="center"/>
    </xf>
    <xf numFmtId="0" fontId="0" fillId="0" borderId="28" xfId="0" applyBorder="1">
      <alignment vertical="top" wrapText="1"/>
    </xf>
    <xf numFmtId="0" fontId="0" fillId="0" borderId="28" xfId="0" applyBorder="1" applyAlignment="1">
      <alignment horizontal="right" vertical="center"/>
    </xf>
    <xf numFmtId="0" fontId="0" fillId="0" borderId="28" xfId="76" applyNumberFormat="1" applyFont="1" applyFill="1" applyBorder="1" applyAlignment="1">
      <alignment horizontal="right" vertical="center"/>
    </xf>
    <xf numFmtId="172" fontId="0" fillId="0" borderId="28" xfId="0" applyNumberFormat="1" applyFill="1" applyBorder="1" applyAlignment="1">
      <alignment vertical="center"/>
    </xf>
    <xf numFmtId="173" fontId="0" fillId="0" borderId="28" xfId="0" applyNumberFormat="1" applyFill="1" applyBorder="1" applyAlignment="1">
      <alignment vertical="center"/>
    </xf>
    <xf numFmtId="0" fontId="28" fillId="0" borderId="40" xfId="0" applyFont="1" applyBorder="1" applyAlignment="1">
      <alignment horizontal="center" vertical="center" wrapText="1"/>
    </xf>
    <xf numFmtId="0" fontId="28" fillId="0" borderId="41" xfId="0" applyFont="1" applyBorder="1" applyAlignment="1">
      <alignment horizontal="center" vertical="center" wrapText="1"/>
    </xf>
    <xf numFmtId="0" fontId="32" fillId="3" borderId="26" xfId="0" applyFont="1" applyFill="1" applyBorder="1" applyAlignment="1">
      <alignment horizontal="right" vertical="center" wrapText="1"/>
    </xf>
    <xf numFmtId="166" fontId="0" fillId="3" borderId="26" xfId="72" applyFont="1" applyFill="1" applyBorder="1" applyAlignment="1">
      <alignment vertical="center" wrapText="1"/>
    </xf>
    <xf numFmtId="0" fontId="0" fillId="4" borderId="28" xfId="0" applyFill="1" applyBorder="1">
      <alignment vertical="top" wrapText="1"/>
    </xf>
    <xf numFmtId="0" fontId="0" fillId="9" borderId="28" xfId="0" applyFill="1" applyBorder="1">
      <alignment vertical="top" wrapText="1"/>
    </xf>
    <xf numFmtId="0" fontId="0" fillId="9" borderId="28" xfId="0" applyFill="1" applyBorder="1" applyAlignment="1">
      <alignment horizontal="right" vertical="center"/>
    </xf>
    <xf numFmtId="0" fontId="0" fillId="0" borderId="40" xfId="0" applyBorder="1">
      <alignment vertical="top" wrapText="1"/>
    </xf>
    <xf numFmtId="0" fontId="15" fillId="4" borderId="28" xfId="0" applyFont="1" applyFill="1" applyBorder="1" applyAlignment="1">
      <alignment horizontal="center" vertical="center"/>
    </xf>
    <xf numFmtId="0" fontId="0" fillId="4" borderId="28" xfId="0" applyFill="1" applyBorder="1" applyAlignment="1">
      <alignment vertical="center"/>
    </xf>
    <xf numFmtId="0" fontId="33" fillId="0" borderId="19" xfId="0" applyFont="1" applyBorder="1" applyAlignment="1">
      <alignment vertical="center" wrapText="1"/>
    </xf>
    <xf numFmtId="0" fontId="33" fillId="0" borderId="26" xfId="0" applyFont="1" applyBorder="1" applyAlignment="1">
      <alignment vertical="center" wrapText="1"/>
    </xf>
    <xf numFmtId="0" fontId="33" fillId="0" borderId="30" xfId="0" applyFont="1" applyBorder="1" applyAlignment="1">
      <alignment vertical="center" wrapText="1"/>
    </xf>
    <xf numFmtId="0" fontId="2" fillId="0" borderId="48" xfId="0" applyFont="1" applyBorder="1" applyAlignment="1"/>
    <xf numFmtId="3" fontId="2" fillId="0" borderId="48" xfId="0" applyNumberFormat="1" applyFont="1" applyBorder="1" applyAlignment="1"/>
    <xf numFmtId="3" fontId="2" fillId="0" borderId="49" xfId="0" applyNumberFormat="1" applyFont="1" applyBorder="1" applyAlignment="1"/>
    <xf numFmtId="0" fontId="0" fillId="0" borderId="50" xfId="0" applyBorder="1">
      <alignment vertical="top" wrapText="1"/>
    </xf>
    <xf numFmtId="3" fontId="2" fillId="0" borderId="51" xfId="0" applyNumberFormat="1" applyFont="1" applyBorder="1" applyAlignment="1"/>
    <xf numFmtId="49" fontId="14" fillId="0" borderId="24" xfId="0" applyNumberFormat="1" applyFont="1" applyBorder="1" applyAlignment="1">
      <alignment horizontal="center" vertical="center"/>
    </xf>
    <xf numFmtId="3" fontId="14" fillId="0" borderId="25" xfId="0" applyNumberFormat="1" applyFont="1" applyBorder="1" applyAlignment="1">
      <alignment vertical="center"/>
    </xf>
    <xf numFmtId="3" fontId="14" fillId="0" borderId="5" xfId="0" applyNumberFormat="1" applyFont="1" applyBorder="1" applyAlignment="1">
      <alignment vertical="center"/>
    </xf>
    <xf numFmtId="0" fontId="15" fillId="8" borderId="32" xfId="0" applyFont="1" applyFill="1" applyBorder="1" applyAlignment="1">
      <alignment horizontal="center" vertical="center" wrapText="1"/>
    </xf>
    <xf numFmtId="0" fontId="0" fillId="0" borderId="32" xfId="0" applyBorder="1">
      <alignment vertical="top" wrapText="1"/>
    </xf>
    <xf numFmtId="166" fontId="29" fillId="7" borderId="28" xfId="72" applyFont="1" applyFill="1" applyBorder="1" applyAlignment="1">
      <alignment vertical="top" wrapText="1"/>
    </xf>
    <xf numFmtId="164" fontId="15" fillId="8" borderId="28" xfId="0" applyNumberFormat="1" applyFont="1" applyFill="1" applyBorder="1">
      <alignment vertical="top" wrapText="1"/>
    </xf>
    <xf numFmtId="0" fontId="36" fillId="0" borderId="0" xfId="0" applyFont="1" applyAlignment="1"/>
    <xf numFmtId="0" fontId="39" fillId="0" borderId="0" xfId="0" applyFont="1" applyFill="1" applyAlignment="1"/>
    <xf numFmtId="0" fontId="35" fillId="8" borderId="28" xfId="0" applyFont="1" applyFill="1" applyBorder="1" applyAlignment="1">
      <alignment horizontal="center" vertical="center"/>
    </xf>
    <xf numFmtId="0" fontId="35" fillId="8" borderId="28" xfId="0" applyFont="1" applyFill="1" applyBorder="1" applyAlignment="1">
      <alignment horizontal="center" vertical="center" wrapText="1"/>
    </xf>
    <xf numFmtId="0" fontId="2" fillId="0" borderId="55" xfId="0" applyFont="1" applyBorder="1" applyAlignment="1"/>
    <xf numFmtId="0" fontId="2" fillId="0" borderId="52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3" fontId="5" fillId="0" borderId="56" xfId="0" applyNumberFormat="1" applyFont="1" applyBorder="1" applyAlignment="1"/>
    <xf numFmtId="3" fontId="14" fillId="0" borderId="57" xfId="0" applyNumberFormat="1" applyFont="1" applyBorder="1" applyAlignment="1">
      <alignment vertical="center"/>
    </xf>
    <xf numFmtId="3" fontId="5" fillId="0" borderId="58" xfId="0" applyNumberFormat="1" applyFont="1" applyBorder="1" applyAlignment="1"/>
    <xf numFmtId="0" fontId="2" fillId="0" borderId="60" xfId="0" applyFont="1" applyBorder="1" applyAlignment="1"/>
    <xf numFmtId="0" fontId="2" fillId="0" borderId="61" xfId="0" applyFont="1" applyBorder="1" applyAlignment="1"/>
    <xf numFmtId="3" fontId="2" fillId="0" borderId="61" xfId="0" applyNumberFormat="1" applyFont="1" applyBorder="1" applyAlignment="1"/>
    <xf numFmtId="49" fontId="14" fillId="0" borderId="62" xfId="0" applyNumberFormat="1" applyFont="1" applyBorder="1" applyAlignment="1">
      <alignment horizontal="center" vertical="center"/>
    </xf>
    <xf numFmtId="3" fontId="14" fillId="0" borderId="63" xfId="0" applyNumberFormat="1" applyFont="1" applyBorder="1" applyAlignment="1">
      <alignment vertical="center"/>
    </xf>
    <xf numFmtId="49" fontId="41" fillId="0" borderId="31" xfId="0" applyNumberFormat="1" applyFont="1" applyBorder="1" applyAlignment="1">
      <alignment horizontal="center" vertical="center" wrapText="1"/>
    </xf>
    <xf numFmtId="0" fontId="24" fillId="0" borderId="28" xfId="0" applyFont="1" applyFill="1" applyBorder="1">
      <alignment vertical="top" wrapText="1"/>
    </xf>
    <xf numFmtId="166" fontId="29" fillId="6" borderId="23" xfId="72" applyFont="1" applyFill="1" applyBorder="1" applyAlignment="1">
      <alignment vertical="top" wrapText="1"/>
    </xf>
    <xf numFmtId="0" fontId="0" fillId="0" borderId="35" xfId="0" applyBorder="1">
      <alignment vertical="top" wrapText="1"/>
    </xf>
    <xf numFmtId="0" fontId="0" fillId="0" borderId="37" xfId="0" applyBorder="1">
      <alignment vertical="top" wrapText="1"/>
    </xf>
    <xf numFmtId="0" fontId="15" fillId="0" borderId="59" xfId="0" applyFont="1" applyBorder="1" applyAlignment="1">
      <alignment horizontal="center" vertical="top" wrapText="1"/>
    </xf>
    <xf numFmtId="0" fontId="42" fillId="0" borderId="59" xfId="0" applyFont="1" applyBorder="1" applyAlignment="1">
      <alignment horizontal="right" vertical="center"/>
    </xf>
    <xf numFmtId="49" fontId="3" fillId="5" borderId="3" xfId="0" applyNumberFormat="1" applyFont="1" applyFill="1" applyBorder="1" applyAlignment="1">
      <alignment horizontal="center" vertical="center"/>
    </xf>
    <xf numFmtId="3" fontId="2" fillId="5" borderId="3" xfId="0" applyNumberFormat="1" applyFont="1" applyFill="1" applyBorder="1" applyAlignment="1">
      <alignment horizontal="center" vertical="center"/>
    </xf>
    <xf numFmtId="49" fontId="4" fillId="5" borderId="3" xfId="0" applyNumberFormat="1" applyFont="1" applyFill="1" applyBorder="1" applyAlignment="1">
      <alignment horizontal="center" vertical="center"/>
    </xf>
    <xf numFmtId="3" fontId="13" fillId="5" borderId="3" xfId="0" applyNumberFormat="1" applyFont="1" applyFill="1" applyBorder="1" applyAlignment="1">
      <alignment horizontal="center" vertical="center"/>
    </xf>
    <xf numFmtId="3" fontId="2" fillId="0" borderId="64" xfId="0" applyNumberFormat="1" applyFont="1" applyBorder="1" applyAlignment="1"/>
    <xf numFmtId="3" fontId="2" fillId="0" borderId="65" xfId="0" applyNumberFormat="1" applyFont="1" applyBorder="1" applyAlignment="1"/>
    <xf numFmtId="0" fontId="42" fillId="11" borderId="66" xfId="0" applyNumberFormat="1" applyFont="1" applyFill="1" applyBorder="1" applyAlignment="1">
      <alignment horizontal="center" vertical="center"/>
    </xf>
    <xf numFmtId="49" fontId="14" fillId="0" borderId="66" xfId="0" applyNumberFormat="1" applyFont="1" applyBorder="1" applyAlignment="1">
      <alignment horizontal="center" vertical="center"/>
    </xf>
    <xf numFmtId="0" fontId="46" fillId="0" borderId="0" xfId="0" applyFont="1" applyAlignment="1">
      <alignment horizontal="right"/>
    </xf>
    <xf numFmtId="0" fontId="0" fillId="0" borderId="0" xfId="0" applyAlignment="1">
      <alignment horizontal="left"/>
    </xf>
    <xf numFmtId="167" fontId="0" fillId="0" borderId="0" xfId="80" applyFont="1" applyAlignment="1"/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left"/>
    </xf>
    <xf numFmtId="0" fontId="15" fillId="8" borderId="59" xfId="0" applyFont="1" applyFill="1" applyBorder="1" applyAlignment="1">
      <alignment horizontal="center" vertical="center" wrapText="1"/>
    </xf>
    <xf numFmtId="0" fontId="15" fillId="3" borderId="59" xfId="0" applyFont="1" applyFill="1" applyBorder="1" applyAlignment="1">
      <alignment horizontal="center" vertical="center" wrapText="1"/>
    </xf>
    <xf numFmtId="0" fontId="0" fillId="3" borderId="59" xfId="0" applyFill="1" applyBorder="1" applyAlignment="1">
      <alignment horizontal="center" vertical="top" wrapText="1"/>
    </xf>
    <xf numFmtId="0" fontId="47" fillId="3" borderId="59" xfId="0" applyFont="1" applyFill="1" applyBorder="1" applyAlignment="1">
      <alignment horizontal="center"/>
    </xf>
    <xf numFmtId="167" fontId="0" fillId="3" borderId="59" xfId="0" applyNumberFormat="1" applyFill="1" applyBorder="1">
      <alignment vertical="top" wrapText="1"/>
    </xf>
    <xf numFmtId="9" fontId="0" fillId="3" borderId="59" xfId="78" applyFont="1" applyFill="1" applyBorder="1" applyAlignment="1">
      <alignment horizontal="center" vertical="top" wrapText="1"/>
    </xf>
    <xf numFmtId="166" fontId="48" fillId="3" borderId="59" xfId="72" applyFont="1" applyFill="1" applyBorder="1" applyAlignment="1">
      <alignment horizontal="center"/>
    </xf>
    <xf numFmtId="0" fontId="0" fillId="0" borderId="59" xfId="0" applyBorder="1" applyAlignment="1">
      <alignment horizontal="center" vertical="top" wrapText="1"/>
    </xf>
    <xf numFmtId="0" fontId="24" fillId="0" borderId="59" xfId="0" applyFont="1" applyBorder="1" applyAlignment="1">
      <alignment horizontal="left" vertical="center"/>
    </xf>
    <xf numFmtId="9" fontId="0" fillId="0" borderId="59" xfId="78" applyFont="1" applyFill="1" applyBorder="1" applyAlignment="1">
      <alignment horizontal="center" vertical="top" wrapText="1"/>
    </xf>
    <xf numFmtId="166" fontId="48" fillId="0" borderId="59" xfId="72" applyFont="1" applyFill="1" applyBorder="1" applyAlignment="1">
      <alignment horizontal="center"/>
    </xf>
    <xf numFmtId="166" fontId="29" fillId="3" borderId="59" xfId="72" applyFont="1" applyFill="1" applyBorder="1" applyAlignment="1">
      <alignment vertical="top" wrapText="1"/>
    </xf>
    <xf numFmtId="0" fontId="0" fillId="0" borderId="59" xfId="0" applyBorder="1" applyAlignment="1">
      <alignment horizontal="left" vertical="center"/>
    </xf>
    <xf numFmtId="167" fontId="0" fillId="0" borderId="59" xfId="0" applyNumberFormat="1" applyBorder="1">
      <alignment vertical="top" wrapText="1"/>
    </xf>
    <xf numFmtId="170" fontId="48" fillId="0" borderId="59" xfId="0" applyNumberFormat="1" applyFont="1" applyBorder="1" applyAlignment="1"/>
    <xf numFmtId="167" fontId="46" fillId="5" borderId="59" xfId="0" applyNumberFormat="1" applyFont="1" applyFill="1" applyBorder="1" applyAlignment="1">
      <alignment vertical="center" wrapText="1"/>
    </xf>
    <xf numFmtId="9" fontId="46" fillId="5" borderId="59" xfId="78" applyFont="1" applyFill="1" applyBorder="1" applyAlignment="1">
      <alignment horizontal="center" vertical="center" wrapText="1"/>
    </xf>
    <xf numFmtId="166" fontId="47" fillId="5" borderId="59" xfId="72" applyFont="1" applyFill="1" applyBorder="1" applyAlignment="1">
      <alignment horizontal="center" vertical="center"/>
    </xf>
    <xf numFmtId="0" fontId="46" fillId="0" borderId="19" xfId="0" applyFont="1" applyBorder="1" applyAlignment="1">
      <alignment vertical="center" wrapText="1"/>
    </xf>
    <xf numFmtId="9" fontId="0" fillId="0" borderId="59" xfId="78" applyFont="1" applyBorder="1" applyAlignment="1">
      <alignment horizontal="center" vertical="top" wrapText="1"/>
    </xf>
    <xf numFmtId="0" fontId="24" fillId="0" borderId="59" xfId="0" applyFont="1" applyBorder="1" applyAlignment="1">
      <alignment horizontal="center" vertical="top" wrapText="1"/>
    </xf>
    <xf numFmtId="166" fontId="29" fillId="0" borderId="59" xfId="72" applyFont="1" applyFill="1" applyBorder="1" applyAlignment="1">
      <alignment vertical="top" wrapText="1"/>
    </xf>
    <xf numFmtId="0" fontId="24" fillId="0" borderId="59" xfId="0" applyFont="1" applyBorder="1">
      <alignment vertical="top" wrapText="1"/>
    </xf>
    <xf numFmtId="0" fontId="0" fillId="0" borderId="59" xfId="0" applyBorder="1">
      <alignment vertical="top" wrapText="1"/>
    </xf>
    <xf numFmtId="166" fontId="29" fillId="7" borderId="59" xfId="72" applyFont="1" applyFill="1" applyBorder="1" applyAlignment="1">
      <alignment vertical="top" wrapText="1"/>
    </xf>
    <xf numFmtId="3" fontId="2" fillId="0" borderId="70" xfId="0" applyNumberFormat="1" applyFont="1" applyBorder="1" applyAlignment="1"/>
    <xf numFmtId="0" fontId="2" fillId="0" borderId="70" xfId="0" applyFont="1" applyBorder="1" applyAlignment="1"/>
    <xf numFmtId="3" fontId="2" fillId="0" borderId="71" xfId="0" applyNumberFormat="1" applyFont="1" applyBorder="1" applyAlignment="1"/>
    <xf numFmtId="3" fontId="2" fillId="0" borderId="72" xfId="0" applyNumberFormat="1" applyFont="1" applyBorder="1" applyAlignment="1"/>
    <xf numFmtId="3" fontId="2" fillId="0" borderId="73" xfId="0" applyNumberFormat="1" applyFont="1" applyBorder="1" applyAlignment="1"/>
    <xf numFmtId="0" fontId="42" fillId="5" borderId="59" xfId="0" applyFont="1" applyFill="1" applyBorder="1" applyAlignment="1">
      <alignment horizontal="right" vertical="center"/>
    </xf>
    <xf numFmtId="3" fontId="49" fillId="0" borderId="72" xfId="0" applyNumberFormat="1" applyFont="1" applyBorder="1" applyAlignment="1">
      <alignment vertical="center"/>
    </xf>
    <xf numFmtId="14" fontId="42" fillId="5" borderId="59" xfId="0" applyNumberFormat="1" applyFont="1" applyFill="1" applyBorder="1" applyAlignment="1">
      <alignment horizontal="left" vertical="center"/>
    </xf>
    <xf numFmtId="2" fontId="42" fillId="5" borderId="59" xfId="0" applyNumberFormat="1" applyFont="1" applyFill="1" applyBorder="1" applyAlignment="1">
      <alignment horizontal="center" vertical="center"/>
    </xf>
    <xf numFmtId="0" fontId="42" fillId="3" borderId="59" xfId="0" applyFont="1" applyFill="1" applyBorder="1" applyAlignment="1">
      <alignment horizontal="right" vertical="center"/>
    </xf>
    <xf numFmtId="14" fontId="42" fillId="3" borderId="59" xfId="0" applyNumberFormat="1" applyFont="1" applyFill="1" applyBorder="1" applyAlignment="1">
      <alignment horizontal="left" vertical="center"/>
    </xf>
    <xf numFmtId="3" fontId="2" fillId="0" borderId="74" xfId="0" applyNumberFormat="1" applyFont="1" applyBorder="1" applyAlignment="1"/>
    <xf numFmtId="3" fontId="2" fillId="0" borderId="75" xfId="0" applyNumberFormat="1" applyFont="1" applyBorder="1" applyAlignment="1"/>
    <xf numFmtId="2" fontId="42" fillId="3" borderId="59" xfId="0" applyNumberFormat="1" applyFont="1" applyFill="1" applyBorder="1" applyAlignment="1">
      <alignment horizontal="left" vertical="center"/>
    </xf>
    <xf numFmtId="0" fontId="42" fillId="10" borderId="59" xfId="0" applyFont="1" applyFill="1" applyBorder="1" applyAlignment="1">
      <alignment horizontal="right" vertical="center"/>
    </xf>
    <xf numFmtId="0" fontId="0" fillId="0" borderId="76" xfId="0" applyBorder="1" applyAlignment="1">
      <alignment horizontal="center"/>
    </xf>
    <xf numFmtId="0" fontId="24" fillId="0" borderId="28" xfId="0" applyFont="1" applyBorder="1">
      <alignment vertical="top" wrapText="1"/>
    </xf>
    <xf numFmtId="0" fontId="2" fillId="0" borderId="70" xfId="0" applyFont="1" applyBorder="1" applyAlignment="1">
      <alignment vertical="center"/>
    </xf>
    <xf numFmtId="166" fontId="0" fillId="0" borderId="76" xfId="72" applyFont="1" applyFill="1" applyBorder="1" applyAlignment="1">
      <alignment horizontal="center"/>
    </xf>
    <xf numFmtId="166" fontId="29" fillId="0" borderId="59" xfId="72" applyFont="1" applyBorder="1" applyAlignment="1">
      <alignment horizontal="center" vertical="top" wrapText="1"/>
    </xf>
    <xf numFmtId="166" fontId="29" fillId="0" borderId="76" xfId="72" applyFont="1" applyBorder="1" applyAlignment="1">
      <alignment horizontal="center" vertical="top" wrapText="1"/>
    </xf>
    <xf numFmtId="0" fontId="21" fillId="0" borderId="77" xfId="0" applyFont="1" applyBorder="1" applyAlignment="1">
      <alignment horizontal="left" vertical="center"/>
    </xf>
    <xf numFmtId="0" fontId="21" fillId="0" borderId="78" xfId="0" applyFont="1" applyBorder="1" applyAlignment="1">
      <alignment horizontal="left" vertical="center"/>
    </xf>
    <xf numFmtId="3" fontId="2" fillId="0" borderId="69" xfId="0" applyNumberFormat="1" applyFont="1" applyBorder="1" applyAlignment="1">
      <alignment horizontal="center" vertical="center"/>
    </xf>
    <xf numFmtId="0" fontId="0" fillId="0" borderId="59" xfId="0" applyBorder="1" applyAlignment="1">
      <alignment horizontal="center"/>
    </xf>
    <xf numFmtId="166" fontId="0" fillId="0" borderId="59" xfId="72" applyFont="1" applyFill="1" applyBorder="1" applyAlignment="1">
      <alignment horizontal="center"/>
    </xf>
    <xf numFmtId="167" fontId="0" fillId="0" borderId="19" xfId="80" applyFont="1" applyBorder="1" applyAlignment="1">
      <alignment vertical="top" wrapText="1"/>
    </xf>
    <xf numFmtId="167" fontId="0" fillId="0" borderId="30" xfId="80" applyFont="1" applyBorder="1" applyAlignment="1">
      <alignment vertical="top" wrapText="1"/>
    </xf>
    <xf numFmtId="167" fontId="48" fillId="0" borderId="59" xfId="80" applyFont="1" applyFill="1" applyBorder="1" applyAlignment="1">
      <alignment horizontal="center"/>
    </xf>
    <xf numFmtId="167" fontId="47" fillId="5" borderId="59" xfId="80" applyFont="1" applyFill="1" applyBorder="1" applyAlignment="1">
      <alignment horizontal="center" vertical="center"/>
    </xf>
    <xf numFmtId="167" fontId="48" fillId="3" borderId="59" xfId="80" applyFont="1" applyFill="1" applyBorder="1" applyAlignment="1">
      <alignment horizontal="center"/>
    </xf>
    <xf numFmtId="167" fontId="29" fillId="7" borderId="59" xfId="80" applyFont="1" applyFill="1" applyBorder="1" applyAlignment="1">
      <alignment vertical="top" wrapText="1"/>
    </xf>
    <xf numFmtId="167" fontId="0" fillId="0" borderId="59" xfId="80" applyFont="1" applyFill="1" applyBorder="1" applyAlignment="1">
      <alignment horizontal="left" vertical="center"/>
    </xf>
    <xf numFmtId="167" fontId="0" fillId="0" borderId="59" xfId="80" applyFont="1" applyBorder="1" applyAlignment="1">
      <alignment horizontal="left" vertical="center"/>
    </xf>
    <xf numFmtId="167" fontId="0" fillId="3" borderId="59" xfId="80" applyFont="1" applyFill="1" applyBorder="1" applyAlignment="1">
      <alignment horizontal="left" vertical="center"/>
    </xf>
    <xf numFmtId="167" fontId="0" fillId="0" borderId="59" xfId="80" applyFont="1" applyBorder="1" applyAlignment="1">
      <alignment vertical="top" wrapText="1"/>
    </xf>
    <xf numFmtId="167" fontId="0" fillId="3" borderId="59" xfId="80" applyFont="1" applyFill="1" applyBorder="1" applyAlignment="1">
      <alignment vertical="top" wrapText="1"/>
    </xf>
    <xf numFmtId="49" fontId="43" fillId="12" borderId="62" xfId="0" applyNumberFormat="1" applyFont="1" applyFill="1" applyBorder="1" applyAlignment="1">
      <alignment horizontal="center" vertical="center"/>
    </xf>
    <xf numFmtId="166" fontId="0" fillId="0" borderId="19" xfId="72" applyFont="1" applyBorder="1" applyAlignment="1">
      <alignment vertical="top" wrapText="1"/>
    </xf>
    <xf numFmtId="174" fontId="28" fillId="0" borderId="40" xfId="0" applyNumberFormat="1" applyFont="1" applyBorder="1" applyAlignment="1">
      <alignment horizontal="center" vertical="center" wrapText="1"/>
    </xf>
    <xf numFmtId="174" fontId="15" fillId="8" borderId="28" xfId="0" applyNumberFormat="1" applyFont="1" applyFill="1" applyBorder="1" applyAlignment="1">
      <alignment horizontal="center" vertical="center" wrapText="1"/>
    </xf>
    <xf numFmtId="174" fontId="24" fillId="0" borderId="23" xfId="0" applyNumberFormat="1" applyFont="1" applyFill="1" applyBorder="1">
      <alignment vertical="top" wrapText="1"/>
    </xf>
    <xf numFmtId="174" fontId="24" fillId="0" borderId="28" xfId="0" applyNumberFormat="1" applyFont="1" applyFill="1" applyBorder="1">
      <alignment vertical="top" wrapText="1"/>
    </xf>
    <xf numFmtId="174" fontId="0" fillId="0" borderId="26" xfId="0" applyNumberFormat="1" applyBorder="1">
      <alignment vertical="top" wrapText="1"/>
    </xf>
    <xf numFmtId="174" fontId="32" fillId="3" borderId="26" xfId="0" applyNumberFormat="1" applyFont="1" applyFill="1" applyBorder="1" applyAlignment="1">
      <alignment horizontal="right" vertical="center" wrapText="1"/>
    </xf>
    <xf numFmtId="174" fontId="25" fillId="4" borderId="28" xfId="0" applyNumberFormat="1" applyFont="1" applyFill="1" applyBorder="1" applyAlignment="1">
      <alignment horizontal="center" vertical="center"/>
    </xf>
    <xf numFmtId="174" fontId="0" fillId="4" borderId="28" xfId="0" applyNumberFormat="1" applyFill="1" applyBorder="1">
      <alignment vertical="top" wrapText="1"/>
    </xf>
    <xf numFmtId="174" fontId="0" fillId="0" borderId="11" xfId="0" applyNumberFormat="1" applyBorder="1">
      <alignment vertical="top" wrapText="1"/>
    </xf>
    <xf numFmtId="174" fontId="0" fillId="0" borderId="19" xfId="0" applyNumberFormat="1" applyBorder="1">
      <alignment vertical="top" wrapText="1"/>
    </xf>
    <xf numFmtId="166" fontId="0" fillId="0" borderId="27" xfId="72" applyFont="1" applyBorder="1" applyAlignment="1">
      <alignment vertical="top" wrapText="1"/>
    </xf>
    <xf numFmtId="166" fontId="28" fillId="0" borderId="41" xfId="72" applyFont="1" applyBorder="1" applyAlignment="1">
      <alignment horizontal="center" vertical="center" wrapText="1"/>
    </xf>
    <xf numFmtId="166" fontId="15" fillId="8" borderId="28" xfId="72" applyFont="1" applyFill="1" applyBorder="1" applyAlignment="1">
      <alignment horizontal="center" vertical="center" wrapText="1"/>
    </xf>
    <xf numFmtId="166" fontId="0" fillId="0" borderId="26" xfId="72" applyFont="1" applyBorder="1" applyAlignment="1">
      <alignment vertical="top" wrapText="1"/>
    </xf>
    <xf numFmtId="166" fontId="25" fillId="4" borderId="28" xfId="72" applyFont="1" applyFill="1" applyBorder="1" applyAlignment="1">
      <alignment horizontal="center" vertical="center"/>
    </xf>
    <xf numFmtId="166" fontId="0" fillId="0" borderId="28" xfId="72" applyFont="1" applyBorder="1" applyAlignment="1">
      <alignment vertical="top" wrapText="1"/>
    </xf>
    <xf numFmtId="166" fontId="0" fillId="4" borderId="28" xfId="72" applyFont="1" applyFill="1" applyBorder="1" applyAlignment="1">
      <alignment vertical="top" wrapText="1"/>
    </xf>
    <xf numFmtId="166" fontId="0" fillId="0" borderId="11" xfId="72" applyFont="1" applyBorder="1" applyAlignment="1">
      <alignment vertical="top" wrapText="1"/>
    </xf>
    <xf numFmtId="174" fontId="24" fillId="0" borderId="23" xfId="0" applyNumberFormat="1" applyFont="1" applyFill="1" applyBorder="1" applyAlignment="1">
      <alignment horizontal="center" vertical="top" wrapText="1"/>
    </xf>
    <xf numFmtId="174" fontId="0" fillId="0" borderId="28" xfId="0" applyNumberFormat="1" applyBorder="1" applyAlignment="1">
      <alignment horizontal="center" vertical="top" wrapText="1"/>
    </xf>
    <xf numFmtId="166" fontId="28" fillId="0" borderId="40" xfId="72" applyFont="1" applyBorder="1" applyAlignment="1">
      <alignment horizontal="center" vertical="center" wrapText="1"/>
    </xf>
    <xf numFmtId="166" fontId="0" fillId="0" borderId="23" xfId="72" applyFont="1" applyBorder="1" applyAlignment="1">
      <alignment vertical="top" wrapText="1"/>
    </xf>
    <xf numFmtId="0" fontId="0" fillId="0" borderId="26" xfId="0" applyBorder="1" applyAlignment="1">
      <alignment horizontal="center" vertical="top" wrapText="1"/>
    </xf>
    <xf numFmtId="0" fontId="0" fillId="0" borderId="30" xfId="0" applyBorder="1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4" borderId="28" xfId="0" applyFill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52" fillId="0" borderId="28" xfId="0" applyFont="1" applyBorder="1" applyAlignment="1">
      <alignment horizontal="center" vertical="center"/>
    </xf>
    <xf numFmtId="166" fontId="0" fillId="0" borderId="76" xfId="72" applyFont="1" applyBorder="1" applyAlignment="1">
      <alignment vertical="top" wrapText="1"/>
    </xf>
    <xf numFmtId="0" fontId="0" fillId="0" borderId="76" xfId="0" applyBorder="1">
      <alignment vertical="top" wrapText="1"/>
    </xf>
    <xf numFmtId="166" fontId="0" fillId="0" borderId="28" xfId="72" applyFont="1" applyBorder="1" applyAlignment="1">
      <alignment horizontal="right" vertical="center"/>
    </xf>
    <xf numFmtId="175" fontId="29" fillId="3" borderId="59" xfId="80" applyNumberFormat="1" applyFont="1" applyFill="1" applyBorder="1" applyAlignment="1">
      <alignment vertical="top" wrapText="1"/>
    </xf>
    <xf numFmtId="176" fontId="29" fillId="3" borderId="59" xfId="80" applyNumberFormat="1" applyFont="1" applyFill="1" applyBorder="1" applyAlignment="1">
      <alignment vertical="top" wrapText="1"/>
    </xf>
    <xf numFmtId="0" fontId="0" fillId="0" borderId="76" xfId="0" applyFill="1" applyBorder="1">
      <alignment vertical="top" wrapText="1"/>
    </xf>
    <xf numFmtId="0" fontId="0" fillId="0" borderId="76" xfId="0" applyBorder="1" applyAlignment="1">
      <alignment vertical="center"/>
    </xf>
    <xf numFmtId="174" fontId="0" fillId="0" borderId="76" xfId="0" applyNumberFormat="1" applyBorder="1">
      <alignment vertical="top" wrapText="1"/>
    </xf>
    <xf numFmtId="166" fontId="53" fillId="0" borderId="84" xfId="72" applyFont="1" applyBorder="1" applyAlignment="1">
      <alignment vertical="top" wrapText="1"/>
    </xf>
    <xf numFmtId="0" fontId="53" fillId="0" borderId="19" xfId="0" applyFont="1" applyBorder="1">
      <alignment vertical="top" wrapText="1"/>
    </xf>
    <xf numFmtId="0" fontId="53" fillId="0" borderId="11" xfId="0" applyFont="1" applyBorder="1" applyAlignment="1">
      <alignment vertical="center"/>
    </xf>
    <xf numFmtId="0" fontId="0" fillId="0" borderId="84" xfId="0" applyBorder="1" applyAlignment="1">
      <alignment horizontal="center" vertical="top" wrapText="1"/>
    </xf>
    <xf numFmtId="0" fontId="0" fillId="0" borderId="84" xfId="0" applyBorder="1">
      <alignment vertical="top" wrapText="1"/>
    </xf>
    <xf numFmtId="166" fontId="0" fillId="0" borderId="84" xfId="72" applyFont="1" applyBorder="1" applyAlignment="1">
      <alignment horizontal="right" vertical="center"/>
    </xf>
    <xf numFmtId="166" fontId="0" fillId="0" borderId="84" xfId="0" applyNumberFormat="1" applyBorder="1" applyAlignment="1">
      <alignment horizontal="right" vertical="center"/>
    </xf>
    <xf numFmtId="0" fontId="0" fillId="0" borderId="84" xfId="0" applyBorder="1" applyAlignment="1">
      <alignment vertical="center"/>
    </xf>
    <xf numFmtId="0" fontId="0" fillId="0" borderId="84" xfId="0" applyBorder="1" applyAlignment="1">
      <alignment horizontal="right" vertical="center"/>
    </xf>
    <xf numFmtId="0" fontId="24" fillId="0" borderId="84" xfId="0" applyFont="1" applyFill="1" applyBorder="1">
      <alignment vertical="top" wrapText="1"/>
    </xf>
    <xf numFmtId="0" fontId="0" fillId="0" borderId="82" xfId="0" applyBorder="1">
      <alignment vertical="top" wrapText="1"/>
    </xf>
    <xf numFmtId="166" fontId="29" fillId="7" borderId="84" xfId="72" applyFont="1" applyFill="1" applyBorder="1" applyAlignment="1">
      <alignment vertical="top" wrapText="1"/>
    </xf>
    <xf numFmtId="2" fontId="0" fillId="0" borderId="29" xfId="0" applyNumberFormat="1" applyBorder="1">
      <alignment vertical="top" wrapText="1"/>
    </xf>
    <xf numFmtId="0" fontId="0" fillId="0" borderId="23" xfId="0" applyFill="1" applyBorder="1" applyAlignment="1"/>
    <xf numFmtId="0" fontId="24" fillId="0" borderId="59" xfId="0" applyFont="1" applyFill="1" applyBorder="1" applyAlignment="1"/>
    <xf numFmtId="0" fontId="15" fillId="8" borderId="76" xfId="0" applyFont="1" applyFill="1" applyBorder="1" applyAlignment="1">
      <alignment horizontal="center" vertical="center" wrapText="1"/>
    </xf>
    <xf numFmtId="167" fontId="0" fillId="0" borderId="76" xfId="80" applyFont="1" applyBorder="1" applyAlignment="1">
      <alignment vertical="top" wrapText="1"/>
    </xf>
    <xf numFmtId="176" fontId="0" fillId="0" borderId="59" xfId="80" applyNumberFormat="1" applyFont="1" applyFill="1" applyBorder="1" applyAlignment="1">
      <alignment horizontal="left" vertical="center"/>
    </xf>
    <xf numFmtId="176" fontId="48" fillId="0" borderId="59" xfId="80" applyNumberFormat="1" applyFont="1" applyFill="1" applyBorder="1" applyAlignment="1">
      <alignment horizontal="center"/>
    </xf>
    <xf numFmtId="176" fontId="0" fillId="0" borderId="59" xfId="80" applyNumberFormat="1" applyFont="1" applyBorder="1" applyAlignment="1">
      <alignment vertical="top" wrapText="1"/>
    </xf>
    <xf numFmtId="167" fontId="29" fillId="7" borderId="23" xfId="80" applyFont="1" applyFill="1" applyBorder="1" applyAlignment="1">
      <alignment vertical="top" wrapText="1"/>
    </xf>
    <xf numFmtId="177" fontId="5" fillId="0" borderId="3" xfId="0" applyNumberFormat="1" applyFont="1" applyFill="1" applyBorder="1" applyAlignment="1">
      <alignment vertical="center"/>
    </xf>
    <xf numFmtId="177" fontId="2" fillId="0" borderId="5" xfId="0" applyNumberFormat="1" applyFont="1" applyBorder="1" applyAlignment="1"/>
    <xf numFmtId="177" fontId="5" fillId="0" borderId="3" xfId="0" applyNumberFormat="1" applyFont="1" applyBorder="1" applyAlignment="1">
      <alignment vertical="center"/>
    </xf>
    <xf numFmtId="177" fontId="2" fillId="0" borderId="56" xfId="0" applyNumberFormat="1" applyFont="1" applyBorder="1" applyAlignment="1"/>
    <xf numFmtId="177" fontId="5" fillId="0" borderId="59" xfId="0" applyNumberFormat="1" applyFont="1" applyBorder="1" applyAlignment="1">
      <alignment vertical="center"/>
    </xf>
    <xf numFmtId="177" fontId="2" fillId="0" borderId="58" xfId="0" applyNumberFormat="1" applyFont="1" applyBorder="1" applyAlignment="1"/>
    <xf numFmtId="177" fontId="2" fillId="0" borderId="0" xfId="0" applyNumberFormat="1" applyFont="1" applyAlignment="1"/>
    <xf numFmtId="177" fontId="50" fillId="0" borderId="69" xfId="0" applyNumberFormat="1" applyFont="1" applyBorder="1" applyAlignment="1">
      <alignment vertical="center"/>
    </xf>
    <xf numFmtId="177" fontId="50" fillId="0" borderId="69" xfId="80" applyNumberFormat="1" applyFont="1" applyBorder="1" applyAlignment="1">
      <alignment vertical="center"/>
    </xf>
    <xf numFmtId="177" fontId="5" fillId="0" borderId="69" xfId="0" applyNumberFormat="1" applyFont="1" applyFill="1" applyBorder="1" applyAlignment="1">
      <alignment vertical="center"/>
    </xf>
    <xf numFmtId="177" fontId="2" fillId="0" borderId="79" xfId="0" applyNumberFormat="1" applyFont="1" applyBorder="1" applyAlignment="1"/>
    <xf numFmtId="177" fontId="5" fillId="0" borderId="69" xfId="0" applyNumberFormat="1" applyFont="1" applyBorder="1" applyAlignment="1">
      <alignment vertical="center"/>
    </xf>
    <xf numFmtId="177" fontId="2" fillId="0" borderId="80" xfId="0" applyNumberFormat="1" applyFont="1" applyBorder="1" applyAlignment="1"/>
    <xf numFmtId="177" fontId="44" fillId="0" borderId="3" xfId="0" applyNumberFormat="1" applyFont="1" applyFill="1" applyBorder="1" applyAlignment="1">
      <alignment vertical="center"/>
    </xf>
    <xf numFmtId="177" fontId="0" fillId="0" borderId="0" xfId="0" applyNumberFormat="1">
      <alignment vertical="top" wrapText="1"/>
    </xf>
    <xf numFmtId="177" fontId="2" fillId="0" borderId="81" xfId="0" applyNumberFormat="1" applyFont="1" applyBorder="1" applyAlignment="1"/>
    <xf numFmtId="177" fontId="17" fillId="0" borderId="69" xfId="0" applyNumberFormat="1" applyFont="1" applyBorder="1" applyAlignment="1">
      <alignment vertical="center"/>
    </xf>
    <xf numFmtId="177" fontId="18" fillId="0" borderId="79" xfId="0" applyNumberFormat="1" applyFont="1" applyBorder="1" applyAlignment="1"/>
    <xf numFmtId="177" fontId="18" fillId="0" borderId="80" xfId="0" applyNumberFormat="1" applyFont="1" applyBorder="1" applyAlignment="1"/>
    <xf numFmtId="177" fontId="17" fillId="0" borderId="59" xfId="0" applyNumberFormat="1" applyFont="1" applyBorder="1" applyAlignment="1">
      <alignment vertical="center"/>
    </xf>
    <xf numFmtId="177" fontId="18" fillId="0" borderId="81" xfId="0" applyNumberFormat="1" applyFont="1" applyBorder="1" applyAlignment="1"/>
    <xf numFmtId="177" fontId="18" fillId="0" borderId="0" xfId="0" applyNumberFormat="1" applyFont="1" applyAlignment="1"/>
    <xf numFmtId="177" fontId="3" fillId="5" borderId="3" xfId="0" applyNumberFormat="1" applyFont="1" applyFill="1" applyBorder="1" applyAlignment="1">
      <alignment vertical="center"/>
    </xf>
    <xf numFmtId="177" fontId="3" fillId="0" borderId="5" xfId="0" applyNumberFormat="1" applyFont="1" applyBorder="1" applyAlignment="1"/>
    <xf numFmtId="177" fontId="3" fillId="2" borderId="3" xfId="0" applyNumberFormat="1" applyFont="1" applyFill="1" applyBorder="1" applyAlignment="1">
      <alignment vertical="center"/>
    </xf>
    <xf numFmtId="177" fontId="3" fillId="3" borderId="3" xfId="0" applyNumberFormat="1" applyFont="1" applyFill="1" applyBorder="1" applyAlignment="1">
      <alignment horizontal="left" vertical="center"/>
    </xf>
    <xf numFmtId="177" fontId="3" fillId="0" borderId="56" xfId="0" applyNumberFormat="1" applyFont="1" applyBorder="1" applyAlignment="1"/>
    <xf numFmtId="177" fontId="3" fillId="3" borderId="59" xfId="0" applyNumberFormat="1" applyFont="1" applyFill="1" applyBorder="1" applyAlignment="1">
      <alignment vertical="center"/>
    </xf>
    <xf numFmtId="177" fontId="3" fillId="0" borderId="58" xfId="0" applyNumberFormat="1" applyFont="1" applyBorder="1" applyAlignment="1"/>
    <xf numFmtId="177" fontId="3" fillId="3" borderId="3" xfId="0" applyNumberFormat="1" applyFont="1" applyFill="1" applyBorder="1" applyAlignment="1">
      <alignment vertical="center"/>
    </xf>
    <xf numFmtId="177" fontId="5" fillId="0" borderId="3" xfId="0" applyNumberFormat="1" applyFont="1" applyBorder="1" applyAlignment="1">
      <alignment horizontal="left" vertical="center"/>
    </xf>
    <xf numFmtId="177" fontId="5" fillId="0" borderId="14" xfId="0" applyNumberFormat="1" applyFont="1" applyBorder="1" applyAlignment="1">
      <alignment vertical="center"/>
    </xf>
    <xf numFmtId="177" fontId="20" fillId="0" borderId="14" xfId="0" applyNumberFormat="1" applyFont="1" applyBorder="1" applyAlignment="1">
      <alignment vertical="center"/>
    </xf>
    <xf numFmtId="177" fontId="2" fillId="0" borderId="11" xfId="0" applyNumberFormat="1" applyFont="1" applyBorder="1" applyAlignment="1">
      <alignment vertical="center"/>
    </xf>
    <xf numFmtId="177" fontId="2" fillId="0" borderId="53" xfId="0" applyNumberFormat="1" applyFont="1" applyBorder="1" applyAlignment="1">
      <alignment vertical="center"/>
    </xf>
    <xf numFmtId="177" fontId="14" fillId="5" borderId="3" xfId="0" applyNumberFormat="1" applyFont="1" applyFill="1" applyBorder="1" applyAlignment="1">
      <alignment vertical="center"/>
    </xf>
    <xf numFmtId="177" fontId="14" fillId="0" borderId="5" xfId="0" applyNumberFormat="1" applyFont="1" applyBorder="1" applyAlignment="1"/>
    <xf numFmtId="177" fontId="14" fillId="2" borderId="3" xfId="0" applyNumberFormat="1" applyFont="1" applyFill="1" applyBorder="1" applyAlignment="1">
      <alignment vertical="center"/>
    </xf>
    <xf numFmtId="177" fontId="14" fillId="3" borderId="3" xfId="0" applyNumberFormat="1" applyFont="1" applyFill="1" applyBorder="1" applyAlignment="1">
      <alignment vertical="center"/>
    </xf>
    <xf numFmtId="177" fontId="14" fillId="0" borderId="56" xfId="0" applyNumberFormat="1" applyFont="1" applyBorder="1" applyAlignment="1"/>
    <xf numFmtId="177" fontId="14" fillId="0" borderId="58" xfId="0" applyNumberFormat="1" applyFont="1" applyBorder="1" applyAlignment="1"/>
    <xf numFmtId="177" fontId="8" fillId="0" borderId="0" xfId="0" applyNumberFormat="1" applyFont="1" applyAlignment="1"/>
    <xf numFmtId="177" fontId="2" fillId="0" borderId="1" xfId="0" applyNumberFormat="1" applyFont="1" applyBorder="1" applyAlignment="1"/>
    <xf numFmtId="177" fontId="2" fillId="0" borderId="60" xfId="0" applyNumberFormat="1" applyFont="1" applyBorder="1" applyAlignment="1"/>
    <xf numFmtId="177" fontId="2" fillId="0" borderId="55" xfId="0" applyNumberFormat="1" applyFont="1" applyBorder="1" applyAlignment="1"/>
    <xf numFmtId="177" fontId="2" fillId="0" borderId="70" xfId="0" applyNumberFormat="1" applyFont="1" applyBorder="1" applyAlignment="1"/>
    <xf numFmtId="166" fontId="0" fillId="3" borderId="19" xfId="72" applyFont="1" applyFill="1" applyBorder="1" applyAlignment="1">
      <alignment vertical="top" wrapText="1"/>
    </xf>
    <xf numFmtId="166" fontId="0" fillId="3" borderId="19" xfId="0" applyNumberFormat="1" applyFill="1" applyBorder="1">
      <alignment vertical="top" wrapText="1"/>
    </xf>
    <xf numFmtId="178" fontId="0" fillId="0" borderId="23" xfId="0" applyNumberFormat="1" applyFill="1" applyBorder="1">
      <alignment vertical="top" wrapText="1"/>
    </xf>
    <xf numFmtId="179" fontId="0" fillId="3" borderId="23" xfId="0" applyNumberFormat="1" applyFill="1" applyBorder="1">
      <alignment vertical="top" wrapText="1"/>
    </xf>
    <xf numFmtId="0" fontId="57" fillId="0" borderId="0" xfId="0" applyFont="1">
      <alignment vertical="top" wrapText="1"/>
    </xf>
    <xf numFmtId="0" fontId="58" fillId="0" borderId="36" xfId="0" applyFont="1" applyBorder="1">
      <alignment vertical="top" wrapText="1"/>
    </xf>
    <xf numFmtId="0" fontId="59" fillId="0" borderId="36" xfId="0" applyFont="1" applyBorder="1" applyAlignment="1">
      <alignment horizontal="center" vertical="top" wrapText="1"/>
    </xf>
    <xf numFmtId="166" fontId="58" fillId="0" borderId="19" xfId="72" applyFont="1" applyBorder="1" applyAlignment="1">
      <alignment vertical="top" wrapText="1"/>
    </xf>
    <xf numFmtId="0" fontId="58" fillId="0" borderId="26" xfId="0" applyFont="1" applyBorder="1" applyAlignment="1">
      <alignment horizontal="center" vertical="top" wrapText="1"/>
    </xf>
    <xf numFmtId="0" fontId="58" fillId="0" borderId="26" xfId="0" applyFont="1" applyBorder="1">
      <alignment vertical="top" wrapText="1"/>
    </xf>
    <xf numFmtId="0" fontId="58" fillId="0" borderId="19" xfId="0" applyFont="1" applyBorder="1">
      <alignment vertical="top" wrapText="1"/>
    </xf>
    <xf numFmtId="0" fontId="58" fillId="0" borderId="11" xfId="0" applyFont="1" applyBorder="1">
      <alignment vertical="top" wrapText="1"/>
    </xf>
    <xf numFmtId="0" fontId="59" fillId="0" borderId="11" xfId="0" applyFont="1" applyBorder="1" applyAlignment="1">
      <alignment horizontal="center" vertical="top" wrapText="1"/>
    </xf>
    <xf numFmtId="166" fontId="58" fillId="0" borderId="27" xfId="72" applyFont="1" applyBorder="1" applyAlignment="1">
      <alignment vertical="top" wrapText="1"/>
    </xf>
    <xf numFmtId="0" fontId="58" fillId="0" borderId="29" xfId="0" applyFont="1" applyBorder="1">
      <alignment vertical="top" wrapText="1"/>
    </xf>
    <xf numFmtId="0" fontId="58" fillId="0" borderId="30" xfId="0" applyFont="1" applyBorder="1" applyAlignment="1">
      <alignment horizontal="center" vertical="top" wrapText="1"/>
    </xf>
    <xf numFmtId="0" fontId="58" fillId="0" borderId="30" xfId="0" applyFont="1" applyBorder="1">
      <alignment vertical="top" wrapText="1"/>
    </xf>
    <xf numFmtId="0" fontId="58" fillId="0" borderId="19" xfId="0" applyFont="1" applyBorder="1" applyAlignment="1">
      <alignment horizontal="center" vertical="top" wrapText="1"/>
    </xf>
    <xf numFmtId="0" fontId="58" fillId="0" borderId="40" xfId="0" applyFont="1" applyBorder="1">
      <alignment vertical="top" wrapText="1"/>
    </xf>
    <xf numFmtId="0" fontId="59" fillId="0" borderId="40" xfId="0" applyFont="1" applyBorder="1" applyAlignment="1">
      <alignment horizontal="center" vertical="top" wrapText="1"/>
    </xf>
    <xf numFmtId="0" fontId="59" fillId="0" borderId="40" xfId="0" applyFont="1" applyBorder="1" applyAlignment="1">
      <alignment horizontal="center" vertical="center" wrapText="1"/>
    </xf>
    <xf numFmtId="174" fontId="59" fillId="0" borderId="40" xfId="0" applyNumberFormat="1" applyFont="1" applyBorder="1" applyAlignment="1">
      <alignment horizontal="center" vertical="center" wrapText="1"/>
    </xf>
    <xf numFmtId="166" fontId="59" fillId="0" borderId="41" xfId="72" applyFont="1" applyBorder="1" applyAlignment="1">
      <alignment horizontal="center" vertical="center" wrapText="1"/>
    </xf>
    <xf numFmtId="0" fontId="59" fillId="8" borderId="28" xfId="0" applyFont="1" applyFill="1" applyBorder="1" applyAlignment="1">
      <alignment horizontal="center" vertical="center" wrapText="1"/>
    </xf>
    <xf numFmtId="174" fontId="59" fillId="8" borderId="28" xfId="0" applyNumberFormat="1" applyFont="1" applyFill="1" applyBorder="1" applyAlignment="1">
      <alignment horizontal="center" vertical="center" wrapText="1"/>
    </xf>
    <xf numFmtId="0" fontId="59" fillId="8" borderId="59" xfId="0" applyFont="1" applyFill="1" applyBorder="1" applyAlignment="1">
      <alignment horizontal="center" vertical="center" wrapText="1"/>
    </xf>
    <xf numFmtId="166" fontId="59" fillId="8" borderId="28" xfId="72" applyFont="1" applyFill="1" applyBorder="1" applyAlignment="1">
      <alignment horizontal="center" vertical="center" wrapText="1"/>
    </xf>
    <xf numFmtId="0" fontId="59" fillId="0" borderId="23" xfId="0" applyFont="1" applyBorder="1" applyAlignment="1">
      <alignment horizontal="center" vertical="top" wrapText="1"/>
    </xf>
    <xf numFmtId="174" fontId="58" fillId="0" borderId="23" xfId="0" applyNumberFormat="1" applyFont="1" applyFill="1" applyBorder="1" applyAlignment="1">
      <alignment horizontal="center" vertical="top" wrapText="1"/>
    </xf>
    <xf numFmtId="0" fontId="58" fillId="0" borderId="59" xfId="0" applyFont="1" applyBorder="1">
      <alignment vertical="top" wrapText="1"/>
    </xf>
    <xf numFmtId="166" fontId="61" fillId="7" borderId="23" xfId="72" applyFont="1" applyFill="1" applyBorder="1" applyAlignment="1">
      <alignment vertical="top" wrapText="1"/>
    </xf>
    <xf numFmtId="174" fontId="58" fillId="0" borderId="28" xfId="0" applyNumberFormat="1" applyFont="1" applyFill="1" applyBorder="1" applyAlignment="1">
      <alignment horizontal="center" vertical="top" wrapText="1"/>
    </xf>
    <xf numFmtId="0" fontId="58" fillId="0" borderId="28" xfId="0" applyFont="1" applyBorder="1">
      <alignment vertical="top" wrapText="1"/>
    </xf>
    <xf numFmtId="166" fontId="61" fillId="7" borderId="28" xfId="72" applyFont="1" applyFill="1" applyBorder="1" applyAlignment="1">
      <alignment vertical="top" wrapText="1"/>
    </xf>
    <xf numFmtId="0" fontId="58" fillId="0" borderId="23" xfId="0" applyFont="1" applyBorder="1">
      <alignment vertical="top" wrapText="1"/>
    </xf>
    <xf numFmtId="0" fontId="59" fillId="0" borderId="26" xfId="0" applyFont="1" applyBorder="1" applyAlignment="1">
      <alignment horizontal="center" vertical="top" wrapText="1"/>
    </xf>
    <xf numFmtId="174" fontId="58" fillId="0" borderId="26" xfId="0" applyNumberFormat="1" applyFont="1" applyBorder="1" applyAlignment="1">
      <alignment horizontal="center" vertical="top" wrapText="1"/>
    </xf>
    <xf numFmtId="166" fontId="61" fillId="6" borderId="23" xfId="72" applyFont="1" applyFill="1" applyBorder="1" applyAlignment="1">
      <alignment vertical="top" wrapText="1"/>
    </xf>
    <xf numFmtId="166" fontId="58" fillId="0" borderId="26" xfId="72" applyFont="1" applyBorder="1" applyAlignment="1">
      <alignment vertical="top" wrapText="1"/>
    </xf>
    <xf numFmtId="0" fontId="59" fillId="0" borderId="59" xfId="0" applyFont="1" applyBorder="1" applyAlignment="1">
      <alignment horizontal="center" vertical="top" wrapText="1"/>
    </xf>
    <xf numFmtId="174" fontId="59" fillId="3" borderId="26" xfId="0" applyNumberFormat="1" applyFont="1" applyFill="1" applyBorder="1" applyAlignment="1">
      <alignment horizontal="center" vertical="center" wrapText="1"/>
    </xf>
    <xf numFmtId="166" fontId="58" fillId="3" borderId="26" xfId="72" applyFont="1" applyFill="1" applyBorder="1" applyAlignment="1">
      <alignment vertical="center" wrapText="1"/>
    </xf>
    <xf numFmtId="0" fontId="59" fillId="3" borderId="26" xfId="0" applyFont="1" applyFill="1" applyBorder="1" applyAlignment="1">
      <alignment horizontal="right" vertical="center" wrapText="1"/>
    </xf>
    <xf numFmtId="0" fontId="58" fillId="0" borderId="11" xfId="0" applyFont="1" applyBorder="1" applyAlignment="1">
      <alignment horizontal="center" vertical="center"/>
    </xf>
    <xf numFmtId="0" fontId="59" fillId="4" borderId="28" xfId="0" applyFont="1" applyFill="1" applyBorder="1" applyAlignment="1">
      <alignment horizontal="center" vertical="center"/>
    </xf>
    <xf numFmtId="174" fontId="62" fillId="4" borderId="28" xfId="0" applyNumberFormat="1" applyFont="1" applyFill="1" applyBorder="1" applyAlignment="1">
      <alignment horizontal="center" vertical="center"/>
    </xf>
    <xf numFmtId="0" fontId="62" fillId="4" borderId="28" xfId="0" applyFont="1" applyFill="1" applyBorder="1" applyAlignment="1">
      <alignment horizontal="center" vertical="center"/>
    </xf>
    <xf numFmtId="166" fontId="62" fillId="4" borderId="28" xfId="72" applyFont="1" applyFill="1" applyBorder="1" applyAlignment="1">
      <alignment horizontal="center" vertical="center"/>
    </xf>
    <xf numFmtId="0" fontId="62" fillId="9" borderId="28" xfId="0" applyFont="1" applyFill="1" applyBorder="1" applyAlignment="1">
      <alignment horizontal="center" vertical="center"/>
    </xf>
    <xf numFmtId="0" fontId="58" fillId="0" borderId="11" xfId="0" applyFont="1" applyBorder="1" applyAlignment="1">
      <alignment vertical="center"/>
    </xf>
    <xf numFmtId="166" fontId="58" fillId="0" borderId="84" xfId="72" applyFont="1" applyBorder="1" applyAlignment="1">
      <alignment vertical="top" wrapText="1"/>
    </xf>
    <xf numFmtId="0" fontId="58" fillId="0" borderId="84" xfId="0" applyFont="1" applyBorder="1" applyAlignment="1">
      <alignment horizontal="center" vertical="top" wrapText="1"/>
    </xf>
    <xf numFmtId="0" fontId="58" fillId="0" borderId="84" xfId="0" applyFont="1" applyBorder="1">
      <alignment vertical="top" wrapText="1"/>
    </xf>
    <xf numFmtId="0" fontId="58" fillId="0" borderId="84" xfId="0" applyFont="1" applyBorder="1" applyAlignment="1">
      <alignment horizontal="right" vertical="center"/>
    </xf>
    <xf numFmtId="14" fontId="58" fillId="0" borderId="84" xfId="0" applyNumberFormat="1" applyFont="1" applyBorder="1" applyAlignment="1">
      <alignment horizontal="right" vertical="center"/>
    </xf>
    <xf numFmtId="173" fontId="58" fillId="0" borderId="84" xfId="77" applyNumberFormat="1" applyFont="1" applyFill="1" applyBorder="1" applyAlignment="1">
      <alignment vertical="center"/>
    </xf>
    <xf numFmtId="173" fontId="58" fillId="0" borderId="84" xfId="0" applyNumberFormat="1" applyFont="1" applyFill="1" applyBorder="1" applyAlignment="1">
      <alignment vertical="center"/>
    </xf>
    <xf numFmtId="166" fontId="61" fillId="0" borderId="29" xfId="0" applyNumberFormat="1" applyFont="1" applyBorder="1">
      <alignment vertical="top" wrapText="1"/>
    </xf>
    <xf numFmtId="0" fontId="58" fillId="0" borderId="84" xfId="0" applyFont="1" applyFill="1" applyBorder="1">
      <alignment vertical="top" wrapText="1"/>
    </xf>
    <xf numFmtId="0" fontId="58" fillId="0" borderId="84" xfId="76" applyNumberFormat="1" applyFont="1" applyFill="1" applyBorder="1" applyAlignment="1">
      <alignment horizontal="right" vertical="center"/>
    </xf>
    <xf numFmtId="174" fontId="58" fillId="4" borderId="28" xfId="0" applyNumberFormat="1" applyFont="1" applyFill="1" applyBorder="1" applyAlignment="1">
      <alignment horizontal="center" vertical="top" wrapText="1"/>
    </xf>
    <xf numFmtId="0" fontId="58" fillId="4" borderId="28" xfId="0" applyFont="1" applyFill="1" applyBorder="1">
      <alignment vertical="top" wrapText="1"/>
    </xf>
    <xf numFmtId="166" fontId="58" fillId="4" borderId="28" xfId="72" applyFont="1" applyFill="1" applyBorder="1" applyAlignment="1">
      <alignment vertical="top" wrapText="1"/>
    </xf>
    <xf numFmtId="0" fontId="58" fillId="4" borderId="28" xfId="0" applyFont="1" applyFill="1" applyBorder="1" applyAlignment="1">
      <alignment horizontal="center" vertical="top" wrapText="1"/>
    </xf>
    <xf numFmtId="0" fontId="58" fillId="9" borderId="28" xfId="0" applyFont="1" applyFill="1" applyBorder="1">
      <alignment vertical="top" wrapText="1"/>
    </xf>
    <xf numFmtId="0" fontId="58" fillId="9" borderId="28" xfId="0" applyFont="1" applyFill="1" applyBorder="1" applyAlignment="1">
      <alignment horizontal="right" vertical="center"/>
    </xf>
    <xf numFmtId="174" fontId="58" fillId="0" borderId="11" xfId="0" applyNumberFormat="1" applyFont="1" applyBorder="1" applyAlignment="1">
      <alignment horizontal="center" vertical="top" wrapText="1"/>
    </xf>
    <xf numFmtId="166" fontId="58" fillId="0" borderId="11" xfId="72" applyFont="1" applyBorder="1" applyAlignment="1">
      <alignment vertical="top" wrapText="1"/>
    </xf>
    <xf numFmtId="0" fontId="58" fillId="0" borderId="11" xfId="0" applyFont="1" applyBorder="1" applyAlignment="1">
      <alignment horizontal="center" vertical="top" wrapText="1"/>
    </xf>
    <xf numFmtId="0" fontId="59" fillId="0" borderId="19" xfId="0" applyFont="1" applyBorder="1" applyAlignment="1">
      <alignment horizontal="center" vertical="top" wrapText="1"/>
    </xf>
    <xf numFmtId="174" fontId="58" fillId="0" borderId="19" xfId="0" applyNumberFormat="1" applyFont="1" applyBorder="1" applyAlignment="1">
      <alignment horizontal="center" vertical="top" wrapText="1"/>
    </xf>
    <xf numFmtId="178" fontId="58" fillId="3" borderId="26" xfId="72" applyNumberFormat="1" applyFont="1" applyFill="1" applyBorder="1" applyAlignment="1">
      <alignment vertical="center" wrapText="1"/>
    </xf>
    <xf numFmtId="2" fontId="58" fillId="13" borderId="84" xfId="72" applyNumberFormat="1" applyFont="1" applyFill="1" applyBorder="1" applyAlignment="1">
      <alignment vertical="top" wrapText="1"/>
    </xf>
    <xf numFmtId="0" fontId="0" fillId="0" borderId="59" xfId="0" applyBorder="1" applyAlignment="1">
      <alignment vertical="center"/>
    </xf>
    <xf numFmtId="0" fontId="0" fillId="0" borderId="59" xfId="0" applyBorder="1" applyAlignment="1">
      <alignment horizontal="right" vertical="center"/>
    </xf>
    <xf numFmtId="178" fontId="0" fillId="3" borderId="26" xfId="72" applyNumberFormat="1" applyFont="1" applyFill="1" applyBorder="1" applyAlignment="1">
      <alignment vertical="center" wrapText="1"/>
    </xf>
    <xf numFmtId="0" fontId="0" fillId="0" borderId="84" xfId="0" applyBorder="1" applyAlignment="1">
      <alignment horizontal="left" vertical="top" wrapText="1"/>
    </xf>
    <xf numFmtId="0" fontId="63" fillId="0" borderId="59" xfId="0" applyFont="1" applyBorder="1" applyAlignment="1">
      <alignment horizontal="left"/>
    </xf>
    <xf numFmtId="16" fontId="0" fillId="0" borderId="59" xfId="0" applyNumberFormat="1" applyBorder="1" applyAlignment="1">
      <alignment horizontal="left"/>
    </xf>
    <xf numFmtId="166" fontId="0" fillId="0" borderId="84" xfId="72" applyFont="1" applyBorder="1" applyAlignment="1">
      <alignment horizontal="left" vertical="top" wrapText="1"/>
    </xf>
    <xf numFmtId="180" fontId="63" fillId="0" borderId="59" xfId="0" applyNumberFormat="1" applyFont="1" applyBorder="1" applyAlignment="1">
      <alignment horizontal="left"/>
    </xf>
    <xf numFmtId="166" fontId="0" fillId="0" borderId="59" xfId="72" applyFont="1" applyBorder="1" applyAlignment="1">
      <alignment horizontal="left"/>
    </xf>
    <xf numFmtId="166" fontId="63" fillId="0" borderId="59" xfId="72" applyFont="1" applyBorder="1" applyAlignment="1">
      <alignment horizontal="left"/>
    </xf>
    <xf numFmtId="166" fontId="58" fillId="0" borderId="59" xfId="72" applyFont="1" applyBorder="1" applyAlignment="1">
      <alignment vertical="top" wrapText="1"/>
    </xf>
    <xf numFmtId="166" fontId="58" fillId="13" borderId="84" xfId="72" applyFont="1" applyFill="1" applyBorder="1" applyAlignment="1">
      <alignment vertical="top" wrapText="1"/>
    </xf>
    <xf numFmtId="178" fontId="0" fillId="3" borderId="33" xfId="72" applyNumberFormat="1" applyFont="1" applyFill="1" applyBorder="1" applyAlignment="1">
      <alignment vertical="center" wrapText="1"/>
    </xf>
    <xf numFmtId="2" fontId="0" fillId="0" borderId="28" xfId="0" applyNumberFormat="1" applyBorder="1">
      <alignment vertical="top" wrapText="1"/>
    </xf>
    <xf numFmtId="14" fontId="0" fillId="0" borderId="28" xfId="0" applyNumberFormat="1" applyBorder="1">
      <alignment vertical="top" wrapText="1"/>
    </xf>
    <xf numFmtId="172" fontId="38" fillId="0" borderId="87" xfId="0" applyNumberFormat="1" applyFont="1" applyBorder="1" applyAlignment="1">
      <alignment horizontal="center"/>
    </xf>
    <xf numFmtId="0" fontId="38" fillId="0" borderId="30" xfId="0" applyFont="1" applyBorder="1" applyAlignment="1">
      <alignment horizontal="center" vertical="center" wrapText="1"/>
    </xf>
    <xf numFmtId="49" fontId="38" fillId="0" borderId="88" xfId="0" applyNumberFormat="1" applyFont="1" applyBorder="1" applyAlignment="1">
      <alignment horizontal="center" vertical="center" wrapText="1"/>
    </xf>
    <xf numFmtId="0" fontId="38" fillId="0" borderId="89" xfId="0" applyFont="1" applyBorder="1" applyAlignment="1">
      <alignment horizontal="center" vertical="center"/>
    </xf>
    <xf numFmtId="0" fontId="38" fillId="0" borderId="88" xfId="0" applyFont="1" applyBorder="1" applyAlignment="1">
      <alignment horizontal="left" vertical="center"/>
    </xf>
    <xf numFmtId="0" fontId="38" fillId="0" borderId="90" xfId="0" applyFont="1" applyBorder="1" applyAlignment="1">
      <alignment horizontal="left" vertical="center"/>
    </xf>
    <xf numFmtId="171" fontId="38" fillId="0" borderId="91" xfId="0" applyNumberFormat="1" applyFont="1" applyFill="1" applyBorder="1" applyAlignment="1">
      <alignment horizontal="center" vertical="center" wrapText="1"/>
    </xf>
    <xf numFmtId="1" fontId="38" fillId="0" borderId="30" xfId="0" applyNumberFormat="1" applyFont="1" applyBorder="1" applyAlignment="1">
      <alignment horizontal="center" vertical="center" wrapText="1"/>
    </xf>
    <xf numFmtId="0" fontId="38" fillId="0" borderId="19" xfId="0" applyFont="1" applyBorder="1" applyAlignment="1">
      <alignment horizontal="center" vertical="center"/>
    </xf>
    <xf numFmtId="0" fontId="38" fillId="0" borderId="19" xfId="0" applyFont="1" applyBorder="1" applyAlignment="1">
      <alignment horizontal="left" vertical="center"/>
    </xf>
    <xf numFmtId="0" fontId="38" fillId="0" borderId="26" xfId="0" applyFont="1" applyBorder="1" applyAlignment="1">
      <alignment horizontal="left" vertical="center"/>
    </xf>
    <xf numFmtId="171" fontId="38" fillId="0" borderId="27" xfId="0" applyNumberFormat="1" applyFont="1" applyFill="1" applyBorder="1" applyAlignment="1">
      <alignment horizontal="center" vertical="center" wrapText="1"/>
    </xf>
    <xf numFmtId="171" fontId="38" fillId="0" borderId="92" xfId="0" applyNumberFormat="1" applyFont="1" applyBorder="1" applyAlignment="1">
      <alignment vertical="center" wrapText="1"/>
    </xf>
    <xf numFmtId="1" fontId="38" fillId="0" borderId="19" xfId="0" applyNumberFormat="1" applyFont="1" applyBorder="1" applyAlignment="1">
      <alignment horizontal="center" vertical="center" wrapText="1"/>
    </xf>
    <xf numFmtId="49" fontId="38" fillId="0" borderId="19" xfId="0" applyNumberFormat="1" applyFont="1" applyBorder="1" applyAlignment="1">
      <alignment horizontal="center" vertical="center" wrapText="1"/>
    </xf>
    <xf numFmtId="1" fontId="38" fillId="0" borderId="26" xfId="0" applyNumberFormat="1" applyFont="1" applyBorder="1" applyAlignment="1">
      <alignment horizontal="center" vertical="center" wrapText="1"/>
    </xf>
    <xf numFmtId="171" fontId="38" fillId="0" borderId="35" xfId="0" applyNumberFormat="1" applyFont="1" applyFill="1" applyBorder="1" applyAlignment="1">
      <alignment horizontal="center" vertical="center" wrapText="1"/>
    </xf>
    <xf numFmtId="166" fontId="58" fillId="0" borderId="84" xfId="72" applyFont="1" applyBorder="1" applyAlignment="1">
      <alignment horizontal="right" vertical="center"/>
    </xf>
    <xf numFmtId="0" fontId="38" fillId="0" borderId="26" xfId="0" applyFont="1" applyBorder="1" applyAlignment="1">
      <alignment horizontal="center" vertical="center"/>
    </xf>
    <xf numFmtId="0" fontId="64" fillId="0" borderId="86" xfId="0" applyFont="1" applyBorder="1" applyAlignment="1">
      <alignment horizontal="center" vertical="center"/>
    </xf>
    <xf numFmtId="0" fontId="64" fillId="0" borderId="86" xfId="0" applyFont="1" applyBorder="1" applyAlignment="1">
      <alignment horizontal="center" vertical="center" wrapText="1"/>
    </xf>
    <xf numFmtId="173" fontId="65" fillId="0" borderId="59" xfId="0" applyNumberFormat="1" applyFont="1" applyBorder="1" applyAlignment="1">
      <alignment horizontal="center" vertical="center" wrapText="1"/>
    </xf>
    <xf numFmtId="0" fontId="0" fillId="4" borderId="82" xfId="0" applyFill="1" applyBorder="1" applyAlignment="1">
      <alignment horizontal="center"/>
    </xf>
    <xf numFmtId="0" fontId="24" fillId="0" borderId="23" xfId="0" applyFont="1" applyFill="1" applyBorder="1" applyAlignment="1"/>
    <xf numFmtId="174" fontId="24" fillId="0" borderId="59" xfId="0" applyNumberFormat="1" applyFont="1" applyFill="1" applyBorder="1" applyAlignment="1">
      <alignment horizontal="center" vertical="top" wrapText="1"/>
    </xf>
    <xf numFmtId="166" fontId="66" fillId="0" borderId="59" xfId="0" applyNumberFormat="1" applyFont="1" applyBorder="1">
      <alignment vertical="top" wrapText="1"/>
    </xf>
    <xf numFmtId="10" fontId="2" fillId="0" borderId="11" xfId="78" applyNumberFormat="1" applyFont="1" applyBorder="1" applyAlignment="1">
      <alignment vertical="center"/>
    </xf>
    <xf numFmtId="165" fontId="0" fillId="0" borderId="19" xfId="0" applyNumberFormat="1" applyBorder="1">
      <alignment vertical="top" wrapText="1"/>
    </xf>
    <xf numFmtId="170" fontId="5" fillId="0" borderId="3" xfId="0" applyNumberFormat="1" applyFont="1" applyBorder="1" applyAlignment="1">
      <alignment vertical="center"/>
    </xf>
    <xf numFmtId="170" fontId="5" fillId="0" borderId="69" xfId="0" applyNumberFormat="1" applyFont="1" applyBorder="1" applyAlignment="1">
      <alignment vertical="center"/>
    </xf>
    <xf numFmtId="170" fontId="17" fillId="0" borderId="69" xfId="0" applyNumberFormat="1" applyFont="1" applyBorder="1" applyAlignment="1">
      <alignment vertical="center"/>
    </xf>
    <xf numFmtId="170" fontId="50" fillId="12" borderId="69" xfId="80" applyNumberFormat="1" applyFont="1" applyFill="1" applyBorder="1" applyAlignment="1">
      <alignment vertical="center"/>
    </xf>
    <xf numFmtId="170" fontId="50" fillId="0" borderId="69" xfId="80" applyNumberFormat="1" applyFont="1" applyBorder="1" applyAlignment="1">
      <alignment vertical="center"/>
    </xf>
    <xf numFmtId="170" fontId="44" fillId="0" borderId="69" xfId="80" applyNumberFormat="1" applyFont="1" applyBorder="1" applyAlignment="1">
      <alignment vertical="center"/>
    </xf>
    <xf numFmtId="170" fontId="50" fillId="0" borderId="69" xfId="0" applyNumberFormat="1" applyFont="1" applyBorder="1" applyAlignment="1">
      <alignment vertical="center"/>
    </xf>
    <xf numFmtId="170" fontId="14" fillId="12" borderId="69" xfId="80" applyNumberFormat="1" applyFont="1" applyFill="1" applyBorder="1" applyAlignment="1">
      <alignment horizontal="left" vertical="center"/>
    </xf>
    <xf numFmtId="170" fontId="5" fillId="0" borderId="69" xfId="80" applyNumberFormat="1" applyFont="1" applyBorder="1" applyAlignment="1">
      <alignment horizontal="left" vertical="center"/>
    </xf>
    <xf numFmtId="170" fontId="44" fillId="0" borderId="69" xfId="80" applyNumberFormat="1" applyFont="1" applyBorder="1" applyAlignment="1">
      <alignment horizontal="left" vertical="center"/>
    </xf>
    <xf numFmtId="170" fontId="14" fillId="12" borderId="69" xfId="80" applyNumberFormat="1" applyFont="1" applyFill="1" applyBorder="1" applyAlignment="1">
      <alignment vertical="center"/>
    </xf>
    <xf numFmtId="9" fontId="2" fillId="0" borderId="11" xfId="78" applyFont="1" applyBorder="1" applyAlignment="1">
      <alignment vertical="center"/>
    </xf>
    <xf numFmtId="167" fontId="69" fillId="0" borderId="59" xfId="80" applyFont="1" applyBorder="1" applyAlignment="1" applyProtection="1">
      <alignment horizontal="center" vertical="center"/>
      <protection locked="0"/>
    </xf>
    <xf numFmtId="167" fontId="69" fillId="0" borderId="59" xfId="80" applyFont="1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vertical="center"/>
      <protection locked="0"/>
    </xf>
    <xf numFmtId="0" fontId="67" fillId="0" borderId="93" xfId="0" applyFont="1" applyBorder="1" applyAlignment="1" applyProtection="1">
      <alignment vertical="center"/>
      <protection locked="0"/>
    </xf>
    <xf numFmtId="0" fontId="68" fillId="0" borderId="0" xfId="0" applyFont="1" applyAlignment="1" applyProtection="1">
      <alignment horizontal="center" vertical="center"/>
      <protection locked="0"/>
    </xf>
    <xf numFmtId="0" fontId="67" fillId="0" borderId="0" xfId="0" applyFont="1" applyAlignment="1" applyProtection="1">
      <alignment vertical="center"/>
      <protection locked="0"/>
    </xf>
    <xf numFmtId="0" fontId="67" fillId="0" borderId="45" xfId="0" applyFont="1" applyBorder="1" applyAlignment="1" applyProtection="1">
      <alignment vertical="center"/>
      <protection locked="0"/>
    </xf>
    <xf numFmtId="0" fontId="67" fillId="0" borderId="46" xfId="0" applyFont="1" applyBorder="1" applyAlignment="1" applyProtection="1">
      <alignment vertical="center"/>
      <protection locked="0"/>
    </xf>
    <xf numFmtId="0" fontId="68" fillId="0" borderId="46" xfId="0" applyFont="1" applyBorder="1" applyAlignment="1" applyProtection="1">
      <alignment vertical="center"/>
      <protection locked="0"/>
    </xf>
    <xf numFmtId="14" fontId="69" fillId="0" borderId="59" xfId="80" applyNumberFormat="1" applyFont="1" applyBorder="1" applyAlignment="1" applyProtection="1">
      <alignment horizontal="center" vertical="center"/>
      <protection locked="0"/>
    </xf>
    <xf numFmtId="0" fontId="68" fillId="0" borderId="0" xfId="0" applyFont="1" applyAlignment="1" applyProtection="1">
      <alignment vertical="center"/>
      <protection locked="0"/>
    </xf>
    <xf numFmtId="167" fontId="69" fillId="0" borderId="0" xfId="80" applyFont="1" applyAlignment="1" applyProtection="1">
      <alignment horizontal="center" vertical="center"/>
      <protection locked="0"/>
    </xf>
    <xf numFmtId="167" fontId="69" fillId="0" borderId="0" xfId="80" applyFont="1" applyAlignment="1" applyProtection="1">
      <alignment horizontal="left" vertical="center" wrapText="1"/>
      <protection locked="0"/>
    </xf>
    <xf numFmtId="0" fontId="62" fillId="0" borderId="0" xfId="0" quotePrefix="1" applyFont="1" applyAlignment="1" applyProtection="1">
      <alignment horizontal="center" vertical="top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167" fontId="0" fillId="0" borderId="0" xfId="80" applyFont="1" applyAlignment="1" applyProtection="1">
      <alignment vertical="center"/>
      <protection locked="0"/>
    </xf>
    <xf numFmtId="167" fontId="0" fillId="0" borderId="0" xfId="80" applyFont="1" applyAlignment="1" applyProtection="1">
      <alignment horizontal="center" vertical="center"/>
      <protection locked="0"/>
    </xf>
    <xf numFmtId="167" fontId="0" fillId="0" borderId="0" xfId="80" applyFont="1" applyAlignment="1" applyProtection="1">
      <alignment horizontal="left" vertical="center" wrapText="1"/>
      <protection locked="0"/>
    </xf>
    <xf numFmtId="0" fontId="70" fillId="15" borderId="94" xfId="0" applyFont="1" applyFill="1" applyBorder="1" applyAlignment="1" applyProtection="1">
      <alignment horizontal="center" vertical="center"/>
      <protection locked="0"/>
    </xf>
    <xf numFmtId="167" fontId="70" fillId="15" borderId="94" xfId="80" applyFont="1" applyFill="1" applyBorder="1" applyAlignment="1" applyProtection="1">
      <alignment horizontal="center" vertical="center"/>
      <protection locked="0"/>
    </xf>
    <xf numFmtId="167" fontId="70" fillId="15" borderId="94" xfId="80" applyFont="1" applyFill="1" applyBorder="1" applyAlignment="1" applyProtection="1">
      <alignment horizontal="center" vertical="center" wrapText="1"/>
      <protection locked="0"/>
    </xf>
    <xf numFmtId="0" fontId="62" fillId="16" borderId="59" xfId="0" applyFont="1" applyFill="1" applyBorder="1" applyAlignment="1">
      <alignment horizontal="left" vertical="center"/>
    </xf>
    <xf numFmtId="0" fontId="62" fillId="16" borderId="59" xfId="0" quotePrefix="1" applyFont="1" applyFill="1" applyBorder="1" applyAlignment="1">
      <alignment horizontal="left" vertical="center"/>
    </xf>
    <xf numFmtId="0" fontId="62" fillId="16" borderId="59" xfId="0" applyFont="1" applyFill="1" applyBorder="1" applyAlignment="1">
      <alignment horizontal="center" vertical="center"/>
    </xf>
    <xf numFmtId="169" fontId="61" fillId="16" borderId="59" xfId="81" applyFont="1" applyFill="1" applyBorder="1" applyAlignment="1" applyProtection="1">
      <alignment horizontal="center" vertical="center"/>
      <protection locked="0"/>
    </xf>
    <xf numFmtId="167" fontId="61" fillId="16" borderId="59" xfId="80" applyFont="1" applyFill="1" applyBorder="1" applyAlignment="1" applyProtection="1">
      <alignment horizontal="right" vertical="center"/>
      <protection locked="0"/>
    </xf>
    <xf numFmtId="167" fontId="62" fillId="16" borderId="59" xfId="80" applyFont="1" applyFill="1" applyBorder="1" applyAlignment="1">
      <alignment horizontal="center" vertical="center"/>
    </xf>
    <xf numFmtId="167" fontId="62" fillId="16" borderId="59" xfId="80" applyFont="1" applyFill="1" applyBorder="1" applyAlignment="1">
      <alignment horizontal="left" vertical="center" wrapText="1"/>
    </xf>
    <xf numFmtId="0" fontId="61" fillId="0" borderId="59" xfId="0" applyFont="1" applyBorder="1" applyAlignment="1">
      <alignment horizontal="left" vertical="center"/>
    </xf>
    <xf numFmtId="0" fontId="61" fillId="0" borderId="59" xfId="0" quotePrefix="1" applyFont="1" applyBorder="1" applyAlignment="1">
      <alignment horizontal="left" vertical="center" wrapText="1"/>
    </xf>
    <xf numFmtId="0" fontId="61" fillId="0" borderId="59" xfId="0" applyFont="1" applyBorder="1" applyAlignment="1">
      <alignment horizontal="center" vertical="center"/>
    </xf>
    <xf numFmtId="4" fontId="61" fillId="0" borderId="59" xfId="76" applyNumberFormat="1" applyFont="1" applyFill="1" applyBorder="1" applyAlignment="1">
      <alignment horizontal="center" vertical="center"/>
    </xf>
    <xf numFmtId="167" fontId="61" fillId="0" borderId="59" xfId="80" applyFont="1" applyFill="1" applyBorder="1" applyAlignment="1">
      <alignment horizontal="right" vertical="center"/>
    </xf>
    <xf numFmtId="167" fontId="61" fillId="0" borderId="59" xfId="80" applyFont="1" applyFill="1" applyBorder="1" applyAlignment="1">
      <alignment horizontal="left" vertical="center" wrapText="1"/>
    </xf>
    <xf numFmtId="0" fontId="61" fillId="0" borderId="59" xfId="0" applyFont="1" applyBorder="1" applyAlignment="1">
      <alignment horizontal="left" vertical="center" wrapText="1"/>
    </xf>
    <xf numFmtId="0" fontId="0" fillId="0" borderId="0" xfId="0" quotePrefix="1" applyAlignment="1" applyProtection="1">
      <alignment horizontal="left" vertical="center"/>
      <protection locked="0"/>
    </xf>
    <xf numFmtId="0" fontId="0" fillId="0" borderId="59" xfId="0" quotePrefix="1" applyBorder="1" applyAlignment="1" applyProtection="1">
      <alignment horizontal="left" vertical="center"/>
      <protection locked="0"/>
    </xf>
    <xf numFmtId="0" fontId="0" fillId="0" borderId="59" xfId="0" applyBorder="1" applyAlignment="1" applyProtection="1">
      <alignment vertical="center"/>
      <protection locked="0"/>
    </xf>
    <xf numFmtId="4" fontId="61" fillId="7" borderId="59" xfId="76" applyNumberFormat="1" applyFont="1" applyFill="1" applyBorder="1" applyAlignment="1">
      <alignment horizontal="center" vertical="center"/>
    </xf>
    <xf numFmtId="167" fontId="61" fillId="7" borderId="59" xfId="80" applyFont="1" applyFill="1" applyBorder="1" applyAlignment="1">
      <alignment horizontal="right" vertical="center"/>
    </xf>
    <xf numFmtId="0" fontId="0" fillId="0" borderId="0" xfId="0" quotePrefix="1" applyAlignment="1" applyProtection="1">
      <alignment horizontal="left" vertical="center" wrapText="1"/>
      <protection locked="0"/>
    </xf>
    <xf numFmtId="167" fontId="61" fillId="7" borderId="59" xfId="80" applyFont="1" applyFill="1" applyBorder="1" applyAlignment="1">
      <alignment horizontal="left" vertical="center" wrapText="1"/>
    </xf>
    <xf numFmtId="0" fontId="0" fillId="0" borderId="59" xfId="0" applyBorder="1" applyAlignment="1" applyProtection="1">
      <alignment horizontal="center" vertical="center"/>
      <protection locked="0"/>
    </xf>
    <xf numFmtId="167" fontId="0" fillId="0" borderId="59" xfId="80" applyFont="1" applyBorder="1" applyAlignment="1" applyProtection="1">
      <alignment vertical="center"/>
      <protection locked="0"/>
    </xf>
    <xf numFmtId="167" fontId="0" fillId="0" borderId="59" xfId="80" applyFont="1" applyBorder="1" applyAlignment="1" applyProtection="1">
      <alignment horizontal="left" vertical="center" wrapText="1"/>
      <protection locked="0"/>
    </xf>
    <xf numFmtId="9" fontId="0" fillId="0" borderId="59" xfId="78" applyFont="1" applyBorder="1" applyAlignment="1" applyProtection="1">
      <alignment horizontal="center" vertical="center"/>
      <protection locked="0"/>
    </xf>
    <xf numFmtId="9" fontId="0" fillId="0" borderId="59" xfId="0" applyNumberFormat="1" applyBorder="1" applyAlignment="1" applyProtection="1">
      <alignment horizontal="center" vertical="center"/>
      <protection locked="0"/>
    </xf>
    <xf numFmtId="166" fontId="71" fillId="0" borderId="59" xfId="72" applyFont="1" applyBorder="1" applyAlignment="1">
      <alignment horizontal="center" vertical="top" wrapText="1"/>
    </xf>
    <xf numFmtId="0" fontId="67" fillId="0" borderId="95" xfId="0" applyFont="1" applyBorder="1" applyAlignment="1" applyProtection="1">
      <alignment vertical="center"/>
      <protection locked="0"/>
    </xf>
    <xf numFmtId="0" fontId="67" fillId="0" borderId="96" xfId="0" applyFont="1" applyBorder="1" applyAlignment="1" applyProtection="1">
      <alignment vertical="center"/>
      <protection locked="0"/>
    </xf>
    <xf numFmtId="0" fontId="68" fillId="0" borderId="96" xfId="0" applyFont="1" applyBorder="1" applyAlignmen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70" fillId="15" borderId="32" xfId="0" applyFont="1" applyFill="1" applyBorder="1" applyAlignment="1" applyProtection="1">
      <alignment horizontal="center" vertical="center"/>
      <protection locked="0"/>
    </xf>
    <xf numFmtId="41" fontId="0" fillId="0" borderId="0" xfId="0" applyNumberFormat="1" applyAlignment="1" applyProtection="1">
      <alignment horizontal="center" vertical="center"/>
      <protection locked="0"/>
    </xf>
    <xf numFmtId="0" fontId="0" fillId="17" borderId="76" xfId="0" applyFill="1" applyBorder="1" applyAlignment="1">
      <alignment horizontal="center"/>
    </xf>
    <xf numFmtId="166" fontId="0" fillId="17" borderId="28" xfId="0" applyNumberFormat="1" applyFill="1" applyBorder="1" applyAlignment="1">
      <alignment horizontal="center"/>
    </xf>
    <xf numFmtId="0" fontId="0" fillId="17" borderId="59" xfId="0" applyFill="1" applyBorder="1" applyAlignment="1">
      <alignment horizontal="center"/>
    </xf>
    <xf numFmtId="166" fontId="0" fillId="17" borderId="59" xfId="0" applyNumberFormat="1" applyFill="1" applyBorder="1" applyAlignment="1">
      <alignment horizontal="center"/>
    </xf>
    <xf numFmtId="166" fontId="0" fillId="0" borderId="0" xfId="72" applyFont="1" applyAlignment="1"/>
    <xf numFmtId="1" fontId="48" fillId="6" borderId="97" xfId="0" applyNumberFormat="1" applyFont="1" applyFill="1" applyBorder="1" applyAlignment="1"/>
    <xf numFmtId="1" fontId="37" fillId="6" borderId="98" xfId="0" applyNumberFormat="1" applyFont="1" applyFill="1" applyBorder="1" applyAlignment="1">
      <alignment horizontal="center"/>
    </xf>
    <xf numFmtId="170" fontId="37" fillId="6" borderId="98" xfId="0" applyNumberFormat="1" applyFont="1" applyFill="1" applyBorder="1" applyAlignment="1"/>
    <xf numFmtId="1" fontId="48" fillId="7" borderId="97" xfId="0" applyNumberFormat="1" applyFont="1" applyFill="1" applyBorder="1" applyAlignment="1"/>
    <xf numFmtId="1" fontId="37" fillId="7" borderId="98" xfId="0" applyNumberFormat="1" applyFont="1" applyFill="1" applyBorder="1" applyAlignment="1">
      <alignment horizontal="center"/>
    </xf>
    <xf numFmtId="1" fontId="48" fillId="7" borderId="97" xfId="0" applyNumberFormat="1" applyFont="1" applyFill="1" applyBorder="1" applyAlignment="1">
      <alignment horizontal="center"/>
    </xf>
    <xf numFmtId="170" fontId="37" fillId="7" borderId="98" xfId="0" applyNumberFormat="1" applyFont="1" applyFill="1" applyBorder="1" applyAlignment="1"/>
    <xf numFmtId="1" fontId="48" fillId="6" borderId="98" xfId="0" applyNumberFormat="1" applyFont="1" applyFill="1" applyBorder="1" applyAlignment="1">
      <alignment horizontal="center"/>
    </xf>
    <xf numFmtId="1" fontId="48" fillId="6" borderId="97" xfId="0" applyNumberFormat="1" applyFont="1" applyFill="1" applyBorder="1" applyAlignment="1">
      <alignment horizontal="center"/>
    </xf>
    <xf numFmtId="1" fontId="48" fillId="17" borderId="98" xfId="0" applyNumberFormat="1" applyFont="1" applyFill="1" applyBorder="1" applyAlignment="1"/>
    <xf numFmtId="1" fontId="48" fillId="17" borderId="98" xfId="0" applyNumberFormat="1" applyFont="1" applyFill="1" applyBorder="1" applyAlignment="1">
      <alignment horizontal="center"/>
    </xf>
    <xf numFmtId="1" fontId="48" fillId="17" borderId="97" xfId="0" applyNumberFormat="1" applyFont="1" applyFill="1" applyBorder="1" applyAlignment="1">
      <alignment horizontal="center"/>
    </xf>
    <xf numFmtId="170" fontId="37" fillId="17" borderId="98" xfId="0" applyNumberFormat="1" applyFont="1" applyFill="1" applyBorder="1" applyAlignment="1"/>
    <xf numFmtId="170" fontId="0" fillId="0" borderId="0" xfId="0" applyNumberFormat="1" applyAlignment="1"/>
    <xf numFmtId="181" fontId="0" fillId="0" borderId="59" xfId="0" applyNumberFormat="1" applyBorder="1" applyAlignment="1"/>
    <xf numFmtId="166" fontId="0" fillId="0" borderId="59" xfId="72" applyFont="1" applyBorder="1"/>
    <xf numFmtId="166" fontId="58" fillId="13" borderId="59" xfId="72" applyFont="1" applyFill="1" applyBorder="1" applyAlignment="1">
      <alignment vertical="top" wrapText="1"/>
    </xf>
    <xf numFmtId="0" fontId="58" fillId="0" borderId="59" xfId="0" applyFont="1" applyBorder="1" applyAlignment="1">
      <alignment horizontal="center" vertical="top" wrapText="1"/>
    </xf>
    <xf numFmtId="0" fontId="58" fillId="0" borderId="59" xfId="0" applyFont="1" applyBorder="1" applyAlignment="1">
      <alignment horizontal="right" vertical="center"/>
    </xf>
    <xf numFmtId="14" fontId="58" fillId="0" borderId="59" xfId="0" applyNumberFormat="1" applyFont="1" applyBorder="1" applyAlignment="1">
      <alignment horizontal="right" vertical="center"/>
    </xf>
    <xf numFmtId="172" fontId="38" fillId="0" borderId="99" xfId="0" applyNumberFormat="1" applyFont="1" applyBorder="1" applyAlignment="1">
      <alignment horizontal="center"/>
    </xf>
    <xf numFmtId="0" fontId="38" fillId="0" borderId="88" xfId="0" applyFont="1" applyBorder="1" applyAlignment="1">
      <alignment horizontal="center" vertical="center" wrapText="1"/>
    </xf>
    <xf numFmtId="171" fontId="38" fillId="0" borderId="100" xfId="0" applyNumberFormat="1" applyFont="1" applyBorder="1" applyAlignment="1">
      <alignment vertical="center" wrapText="1"/>
    </xf>
    <xf numFmtId="171" fontId="38" fillId="0" borderId="101" xfId="0" applyNumberFormat="1" applyFont="1" applyBorder="1" applyAlignment="1">
      <alignment vertical="center" wrapText="1"/>
    </xf>
    <xf numFmtId="0" fontId="38" fillId="18" borderId="26" xfId="0" applyFont="1" applyFill="1" applyBorder="1" applyAlignment="1">
      <alignment horizontal="left" vertical="center"/>
    </xf>
    <xf numFmtId="171" fontId="38" fillId="18" borderId="35" xfId="0" applyNumberFormat="1" applyFont="1" applyFill="1" applyBorder="1" applyAlignment="1">
      <alignment horizontal="center" vertical="center" wrapText="1"/>
    </xf>
    <xf numFmtId="171" fontId="38" fillId="18" borderId="92" xfId="0" applyNumberFormat="1" applyFont="1" applyFill="1" applyBorder="1" applyAlignment="1">
      <alignment vertical="center" wrapText="1"/>
    </xf>
    <xf numFmtId="172" fontId="38" fillId="3" borderId="87" xfId="0" applyNumberFormat="1" applyFont="1" applyFill="1" applyBorder="1" applyAlignment="1">
      <alignment horizontal="center"/>
    </xf>
    <xf numFmtId="0" fontId="38" fillId="3" borderId="30" xfId="0" applyFont="1" applyFill="1" applyBorder="1" applyAlignment="1">
      <alignment horizontal="center" vertical="center" wrapText="1"/>
    </xf>
    <xf numFmtId="1" fontId="38" fillId="3" borderId="26" xfId="0" applyNumberFormat="1" applyFont="1" applyFill="1" applyBorder="1" applyAlignment="1">
      <alignment horizontal="center" vertical="center" wrapText="1"/>
    </xf>
    <xf numFmtId="0" fontId="38" fillId="3" borderId="19" xfId="0" applyFont="1" applyFill="1" applyBorder="1" applyAlignment="1">
      <alignment horizontal="center" vertical="center"/>
    </xf>
    <xf numFmtId="0" fontId="38" fillId="3" borderId="26" xfId="0" applyFont="1" applyFill="1" applyBorder="1" applyAlignment="1">
      <alignment horizontal="left" vertical="center"/>
    </xf>
    <xf numFmtId="171" fontId="38" fillId="3" borderId="35" xfId="0" applyNumberFormat="1" applyFont="1" applyFill="1" applyBorder="1" applyAlignment="1">
      <alignment horizontal="center" vertical="center" wrapText="1"/>
    </xf>
    <xf numFmtId="171" fontId="38" fillId="3" borderId="92" xfId="0" applyNumberFormat="1" applyFont="1" applyFill="1" applyBorder="1" applyAlignment="1">
      <alignment vertical="center" wrapText="1"/>
    </xf>
    <xf numFmtId="171" fontId="39" fillId="0" borderId="0" xfId="0" applyNumberFormat="1" applyFont="1" applyFill="1" applyAlignment="1"/>
    <xf numFmtId="171" fontId="37" fillId="3" borderId="59" xfId="0" applyNumberFormat="1" applyFont="1" applyFill="1" applyBorder="1" applyAlignment="1">
      <alignment vertical="center" wrapText="1"/>
    </xf>
    <xf numFmtId="0" fontId="73" fillId="0" borderId="103" xfId="11" applyFont="1" applyBorder="1" applyAlignment="1">
      <alignment horizontal="right" vertical="center"/>
    </xf>
    <xf numFmtId="4" fontId="73" fillId="0" borderId="104" xfId="0" applyNumberFormat="1" applyFont="1" applyBorder="1" applyAlignment="1" applyProtection="1">
      <alignment vertical="center"/>
      <protection locked="0"/>
    </xf>
    <xf numFmtId="4" fontId="72" fillId="0" borderId="0" xfId="0" applyNumberFormat="1" applyFont="1" applyAlignment="1" applyProtection="1">
      <alignment vertical="center"/>
      <protection locked="0"/>
    </xf>
    <xf numFmtId="0" fontId="73" fillId="0" borderId="59" xfId="11" applyFont="1" applyBorder="1" applyAlignment="1">
      <alignment horizontal="right" vertical="center"/>
    </xf>
    <xf numFmtId="4" fontId="73" fillId="0" borderId="107" xfId="0" applyNumberFormat="1" applyFont="1" applyBorder="1" applyAlignment="1" applyProtection="1">
      <alignment vertical="center"/>
      <protection locked="0"/>
    </xf>
    <xf numFmtId="4" fontId="74" fillId="0" borderId="96" xfId="0" applyNumberFormat="1" applyFont="1" applyBorder="1" applyAlignment="1" applyProtection="1">
      <alignment vertical="center"/>
      <protection locked="0"/>
    </xf>
    <xf numFmtId="3" fontId="74" fillId="0" borderId="111" xfId="0" applyNumberFormat="1" applyFont="1" applyBorder="1" applyAlignment="1" applyProtection="1">
      <alignment vertical="center"/>
      <protection locked="0"/>
    </xf>
    <xf numFmtId="166" fontId="68" fillId="0" borderId="104" xfId="72" applyFont="1" applyBorder="1" applyAlignment="1">
      <alignment horizontal="center"/>
    </xf>
    <xf numFmtId="10" fontId="57" fillId="0" borderId="121" xfId="79" applyNumberFormat="1" applyFont="1" applyBorder="1" applyAlignment="1">
      <alignment horizontal="center" vertical="center"/>
    </xf>
    <xf numFmtId="166" fontId="72" fillId="0" borderId="11" xfId="72" applyFont="1" applyFill="1" applyBorder="1" applyAlignment="1" applyProtection="1">
      <alignment vertical="center"/>
      <protection locked="0"/>
    </xf>
    <xf numFmtId="0" fontId="68" fillId="0" borderId="11" xfId="79" applyFont="1" applyAlignment="1">
      <alignment horizontal="center" vertical="center"/>
    </xf>
    <xf numFmtId="10" fontId="57" fillId="0" borderId="109" xfId="79" applyNumberFormat="1" applyFont="1" applyBorder="1" applyAlignment="1">
      <alignment horizontal="center" vertical="center"/>
    </xf>
    <xf numFmtId="4" fontId="74" fillId="0" borderId="123" xfId="0" applyNumberFormat="1" applyFont="1" applyBorder="1" applyAlignment="1">
      <alignment vertical="center"/>
    </xf>
    <xf numFmtId="4" fontId="74" fillId="0" borderId="124" xfId="0" applyNumberFormat="1" applyFont="1" applyBorder="1" applyAlignment="1">
      <alignment vertical="center"/>
    </xf>
    <xf numFmtId="4" fontId="73" fillId="0" borderId="31" xfId="0" applyNumberFormat="1" applyFont="1" applyBorder="1" applyAlignment="1">
      <alignment horizontal="center" vertical="center" wrapText="1"/>
    </xf>
    <xf numFmtId="15" fontId="72" fillId="7" borderId="59" xfId="0" applyNumberFormat="1" applyFont="1" applyFill="1" applyBorder="1" applyAlignment="1">
      <alignment horizontal="center" vertical="center"/>
    </xf>
    <xf numFmtId="3" fontId="75" fillId="7" borderId="59" xfId="0" applyNumberFormat="1" applyFont="1" applyFill="1" applyBorder="1" applyAlignment="1">
      <alignment horizontal="center" vertical="center"/>
    </xf>
    <xf numFmtId="4" fontId="72" fillId="7" borderId="59" xfId="78" applyNumberFormat="1" applyFont="1" applyFill="1" applyBorder="1" applyAlignment="1" applyProtection="1">
      <alignment vertical="center" wrapText="1"/>
    </xf>
    <xf numFmtId="9" fontId="72" fillId="7" borderId="59" xfId="78" applyFont="1" applyFill="1" applyBorder="1" applyAlignment="1" applyProtection="1">
      <alignment horizontal="center" vertical="center"/>
    </xf>
    <xf numFmtId="182" fontId="68" fillId="7" borderId="59" xfId="72" applyNumberFormat="1" applyFont="1" applyFill="1" applyBorder="1" applyAlignment="1">
      <alignment horizontal="right" vertical="center"/>
    </xf>
    <xf numFmtId="166" fontId="68" fillId="0" borderId="59" xfId="72" applyFont="1" applyFill="1" applyBorder="1" applyAlignment="1">
      <alignment horizontal="right" vertical="center"/>
    </xf>
    <xf numFmtId="4" fontId="73" fillId="7" borderId="59" xfId="0" applyNumberFormat="1" applyFont="1" applyFill="1" applyBorder="1" applyAlignment="1" applyProtection="1">
      <alignment horizontal="center" vertical="center"/>
      <protection locked="0"/>
    </xf>
    <xf numFmtId="9" fontId="73" fillId="0" borderId="59" xfId="78" applyFont="1" applyBorder="1" applyAlignment="1" applyProtection="1">
      <alignment horizontal="center" vertical="center"/>
      <protection locked="0"/>
    </xf>
    <xf numFmtId="166" fontId="68" fillId="7" borderId="59" xfId="72" applyFont="1" applyFill="1" applyBorder="1" applyAlignment="1">
      <alignment horizontal="right" vertical="center"/>
    </xf>
    <xf numFmtId="4" fontId="72" fillId="0" borderId="0" xfId="0" applyNumberFormat="1" applyFont="1" applyAlignment="1" applyProtection="1">
      <alignment horizontal="center" vertical="center"/>
      <protection locked="0"/>
    </xf>
    <xf numFmtId="182" fontId="68" fillId="20" borderId="31" xfId="72" applyNumberFormat="1" applyFont="1" applyFill="1" applyBorder="1" applyAlignment="1">
      <alignment horizontal="center" vertical="center"/>
    </xf>
    <xf numFmtId="182" fontId="68" fillId="20" borderId="59" xfId="72" applyNumberFormat="1" applyFont="1" applyFill="1" applyBorder="1" applyAlignment="1">
      <alignment horizontal="center" vertical="center"/>
    </xf>
    <xf numFmtId="4" fontId="73" fillId="7" borderId="0" xfId="0" applyNumberFormat="1" applyFont="1" applyFill="1" applyAlignment="1" applyProtection="1">
      <alignment horizontal="center" vertical="center"/>
      <protection locked="0"/>
    </xf>
    <xf numFmtId="9" fontId="73" fillId="7" borderId="11" xfId="78" applyFont="1" applyFill="1" applyBorder="1" applyAlignment="1" applyProtection="1">
      <alignment horizontal="center" vertical="center"/>
      <protection locked="0"/>
    </xf>
    <xf numFmtId="3" fontId="72" fillId="0" borderId="0" xfId="0" applyNumberFormat="1" applyFont="1" applyAlignment="1" applyProtection="1">
      <alignment horizontal="center" vertical="center"/>
      <protection locked="0"/>
    </xf>
    <xf numFmtId="4" fontId="72" fillId="0" borderId="0" xfId="0" applyNumberFormat="1" applyFont="1" applyAlignment="1" applyProtection="1">
      <alignment horizontal="left" vertical="center"/>
      <protection locked="0"/>
    </xf>
    <xf numFmtId="166" fontId="68" fillId="7" borderId="11" xfId="72" applyFont="1" applyFill="1" applyBorder="1" applyAlignment="1">
      <alignment horizontal="right" vertical="center"/>
    </xf>
    <xf numFmtId="166" fontId="76" fillId="7" borderId="11" xfId="72" applyFont="1" applyFill="1" applyBorder="1" applyAlignment="1">
      <alignment horizontal="center" vertical="center"/>
    </xf>
    <xf numFmtId="39" fontId="74" fillId="7" borderId="11" xfId="77" applyNumberFormat="1" applyFont="1" applyFill="1" applyBorder="1" applyAlignment="1" applyProtection="1">
      <alignment vertical="center"/>
      <protection locked="0"/>
    </xf>
    <xf numFmtId="0" fontId="74" fillId="7" borderId="59" xfId="0" applyFont="1" applyFill="1" applyBorder="1" applyAlignment="1">
      <alignment horizontal="center" vertical="center"/>
    </xf>
    <xf numFmtId="15" fontId="74" fillId="7" borderId="59" xfId="0" applyNumberFormat="1" applyFont="1" applyFill="1" applyBorder="1" applyAlignment="1">
      <alignment horizontal="center" vertical="center"/>
    </xf>
    <xf numFmtId="3" fontId="77" fillId="7" borderId="59" xfId="0" applyNumberFormat="1" applyFont="1" applyFill="1" applyBorder="1" applyAlignment="1">
      <alignment horizontal="center" vertical="center"/>
    </xf>
    <xf numFmtId="4" fontId="74" fillId="7" borderId="59" xfId="0" applyNumberFormat="1" applyFont="1" applyFill="1" applyBorder="1" applyAlignment="1">
      <alignment horizontal="center" vertical="center" wrapText="1"/>
    </xf>
    <xf numFmtId="3" fontId="74" fillId="7" borderId="59" xfId="0" applyNumberFormat="1" applyFont="1" applyFill="1" applyBorder="1" applyAlignment="1">
      <alignment horizontal="center" vertical="center"/>
    </xf>
    <xf numFmtId="3" fontId="78" fillId="7" borderId="59" xfId="0" applyNumberFormat="1" applyFont="1" applyFill="1" applyBorder="1" applyAlignment="1">
      <alignment horizontal="center" vertical="center"/>
    </xf>
    <xf numFmtId="4" fontId="74" fillId="7" borderId="59" xfId="78" applyNumberFormat="1" applyFont="1" applyFill="1" applyBorder="1" applyAlignment="1" applyProtection="1">
      <alignment vertical="center" wrapText="1"/>
    </xf>
    <xf numFmtId="9" fontId="74" fillId="7" borderId="59" xfId="78" applyFont="1" applyFill="1" applyBorder="1" applyAlignment="1" applyProtection="1">
      <alignment horizontal="center" vertical="center"/>
    </xf>
    <xf numFmtId="4" fontId="74" fillId="7" borderId="59" xfId="0" applyNumberFormat="1" applyFont="1" applyFill="1" applyBorder="1" applyAlignment="1">
      <alignment horizontal="center" vertical="center"/>
    </xf>
    <xf numFmtId="3" fontId="79" fillId="7" borderId="59" xfId="0" applyNumberFormat="1" applyFont="1" applyFill="1" applyBorder="1" applyAlignment="1">
      <alignment horizontal="center" vertical="center"/>
    </xf>
    <xf numFmtId="0" fontId="74" fillId="7" borderId="59" xfId="0" applyFont="1" applyFill="1" applyBorder="1" applyAlignment="1">
      <alignment horizontal="left" vertical="center" wrapText="1"/>
    </xf>
    <xf numFmtId="0" fontId="15" fillId="0" borderId="30" xfId="0" applyFont="1" applyBorder="1">
      <alignment vertical="top" wrapText="1"/>
    </xf>
    <xf numFmtId="166" fontId="0" fillId="0" borderId="19" xfId="85" applyFont="1" applyBorder="1" applyAlignment="1">
      <alignment vertical="top" wrapText="1"/>
    </xf>
    <xf numFmtId="166" fontId="15" fillId="0" borderId="19" xfId="0" applyNumberFormat="1" applyFont="1" applyBorder="1">
      <alignment vertical="top" wrapText="1"/>
    </xf>
    <xf numFmtId="0" fontId="47" fillId="21" borderId="98" xfId="0" applyFont="1" applyFill="1" applyBorder="1" applyAlignment="1">
      <alignment horizontal="center"/>
    </xf>
    <xf numFmtId="1" fontId="48" fillId="21" borderId="98" xfId="0" applyNumberFormat="1" applyFont="1" applyFill="1" applyBorder="1" applyAlignment="1">
      <alignment horizontal="center"/>
    </xf>
    <xf numFmtId="170" fontId="47" fillId="21" borderId="98" xfId="0" applyNumberFormat="1" applyFont="1" applyFill="1" applyBorder="1" applyAlignment="1"/>
    <xf numFmtId="176" fontId="0" fillId="7" borderId="59" xfId="80" applyNumberFormat="1" applyFont="1" applyFill="1" applyBorder="1" applyAlignment="1">
      <alignment horizontal="left" vertical="center"/>
    </xf>
    <xf numFmtId="9" fontId="0" fillId="7" borderId="59" xfId="78" applyFont="1" applyFill="1" applyBorder="1" applyAlignment="1">
      <alignment horizontal="center" vertical="top" wrapText="1"/>
    </xf>
    <xf numFmtId="0" fontId="0" fillId="7" borderId="59" xfId="0" applyFill="1" applyBorder="1" applyAlignment="1">
      <alignment horizontal="left" vertical="center"/>
    </xf>
    <xf numFmtId="170" fontId="48" fillId="7" borderId="59" xfId="0" applyNumberFormat="1" applyFont="1" applyFill="1" applyBorder="1" applyAlignment="1"/>
    <xf numFmtId="176" fontId="48" fillId="7" borderId="59" xfId="80" applyNumberFormat="1" applyFont="1" applyFill="1" applyBorder="1" applyAlignment="1">
      <alignment horizontal="center"/>
    </xf>
    <xf numFmtId="1" fontId="48" fillId="7" borderId="97" xfId="0" applyNumberFormat="1" applyFont="1" applyFill="1" applyBorder="1" applyAlignment="1">
      <alignment wrapText="1"/>
    </xf>
    <xf numFmtId="166" fontId="58" fillId="0" borderId="59" xfId="72" applyFont="1" applyBorder="1" applyAlignment="1">
      <alignment horizontal="right" vertical="center"/>
    </xf>
    <xf numFmtId="173" fontId="58" fillId="0" borderId="59" xfId="77" applyNumberFormat="1" applyFont="1" applyFill="1" applyBorder="1" applyAlignment="1">
      <alignment vertical="center"/>
    </xf>
    <xf numFmtId="173" fontId="58" fillId="0" borderId="59" xfId="0" applyNumberFormat="1" applyFont="1" applyFill="1" applyBorder="1" applyAlignment="1">
      <alignment vertical="center"/>
    </xf>
    <xf numFmtId="171" fontId="38" fillId="0" borderId="27" xfId="0" applyNumberFormat="1" applyFont="1" applyBorder="1" applyAlignment="1">
      <alignment horizontal="center" vertical="center" wrapText="1"/>
    </xf>
    <xf numFmtId="172" fontId="37" fillId="0" borderId="87" xfId="0" applyNumberFormat="1" applyFont="1" applyBorder="1" applyAlignment="1">
      <alignment horizontal="center"/>
    </xf>
    <xf numFmtId="0" fontId="37" fillId="0" borderId="30" xfId="0" applyFont="1" applyBorder="1" applyAlignment="1">
      <alignment horizontal="center" vertical="center" wrapText="1"/>
    </xf>
    <xf numFmtId="171" fontId="38" fillId="0" borderId="19" xfId="0" applyNumberFormat="1" applyFont="1" applyBorder="1" applyAlignment="1">
      <alignment horizontal="left" vertical="center"/>
    </xf>
    <xf numFmtId="171" fontId="37" fillId="0" borderId="92" xfId="0" applyNumberFormat="1" applyFont="1" applyBorder="1" applyAlignment="1">
      <alignment vertical="center" wrapText="1"/>
    </xf>
    <xf numFmtId="171" fontId="38" fillId="0" borderId="35" xfId="0" applyNumberFormat="1" applyFont="1" applyBorder="1" applyAlignment="1">
      <alignment horizontal="left" vertical="center"/>
    </xf>
    <xf numFmtId="172" fontId="37" fillId="0" borderId="127" xfId="0" applyNumberFormat="1" applyFont="1" applyBorder="1" applyAlignment="1">
      <alignment horizontal="center"/>
    </xf>
    <xf numFmtId="0" fontId="37" fillId="0" borderId="19" xfId="0" applyFont="1" applyBorder="1" applyAlignment="1">
      <alignment horizontal="center" vertical="center" wrapText="1"/>
    </xf>
    <xf numFmtId="3" fontId="81" fillId="0" borderId="0" xfId="0" applyNumberFormat="1" applyFont="1" applyAlignment="1">
      <alignment horizontal="right" vertical="center"/>
    </xf>
    <xf numFmtId="0" fontId="81" fillId="0" borderId="0" xfId="0" applyFont="1" applyAlignment="1">
      <alignment vertical="center"/>
    </xf>
    <xf numFmtId="4" fontId="74" fillId="0" borderId="112" xfId="0" applyNumberFormat="1" applyFont="1" applyBorder="1" applyAlignment="1" applyProtection="1">
      <alignment horizontal="center" vertical="center"/>
      <protection locked="0"/>
    </xf>
    <xf numFmtId="4" fontId="74" fillId="0" borderId="96" xfId="0" applyNumberFormat="1" applyFont="1" applyBorder="1" applyAlignment="1" applyProtection="1">
      <alignment horizontal="center" vertical="center"/>
      <protection locked="0"/>
    </xf>
    <xf numFmtId="4" fontId="74" fillId="0" borderId="96" xfId="0" applyNumberFormat="1" applyFont="1" applyBorder="1" applyAlignment="1">
      <alignment vertical="center"/>
    </xf>
    <xf numFmtId="4" fontId="73" fillId="0" borderId="102" xfId="0" applyNumberFormat="1" applyFont="1" applyBorder="1" applyAlignment="1">
      <alignment horizontal="left" vertical="center"/>
    </xf>
    <xf numFmtId="4" fontId="73" fillId="0" borderId="0" xfId="0" applyNumberFormat="1" applyFont="1" applyAlignment="1">
      <alignment horizontal="center" vertical="center"/>
    </xf>
    <xf numFmtId="4" fontId="73" fillId="0" borderId="0" xfId="0" applyNumberFormat="1" applyFont="1" applyAlignment="1">
      <alignment vertical="center"/>
    </xf>
    <xf numFmtId="4" fontId="74" fillId="0" borderId="0" xfId="0" applyNumberFormat="1" applyFont="1" applyAlignment="1" applyProtection="1">
      <alignment vertical="center"/>
      <protection locked="0"/>
    </xf>
    <xf numFmtId="4" fontId="74" fillId="0" borderId="0" xfId="0" applyNumberFormat="1" applyFont="1" applyAlignment="1">
      <alignment horizontal="left" vertical="center"/>
    </xf>
    <xf numFmtId="4" fontId="73" fillId="0" borderId="116" xfId="0" applyNumberFormat="1" applyFont="1" applyBorder="1" applyAlignment="1">
      <alignment horizontal="left" vertical="center"/>
    </xf>
    <xf numFmtId="14" fontId="73" fillId="0" borderId="0" xfId="0" applyNumberFormat="1" applyFont="1" applyAlignment="1">
      <alignment horizontal="center" vertical="center"/>
    </xf>
    <xf numFmtId="4" fontId="74" fillId="0" borderId="108" xfId="0" applyNumberFormat="1" applyFont="1" applyBorder="1" applyAlignment="1">
      <alignment horizontal="center" vertical="center"/>
    </xf>
    <xf numFmtId="4" fontId="74" fillId="0" borderId="0" xfId="0" applyNumberFormat="1" applyFont="1" applyAlignment="1">
      <alignment horizontal="center" vertical="center"/>
    </xf>
    <xf numFmtId="4" fontId="74" fillId="0" borderId="0" xfId="0" applyNumberFormat="1" applyFont="1" applyAlignment="1">
      <alignment vertical="center"/>
    </xf>
    <xf numFmtId="4" fontId="74" fillId="0" borderId="122" xfId="0" applyNumberFormat="1" applyFont="1" applyBorder="1" applyAlignment="1">
      <alignment horizontal="center" vertical="center"/>
    </xf>
    <xf numFmtId="4" fontId="74" fillId="0" borderId="123" xfId="0" applyNumberFormat="1" applyFont="1" applyBorder="1" applyAlignment="1">
      <alignment horizontal="center" vertical="center"/>
    </xf>
    <xf numFmtId="4" fontId="79" fillId="0" borderId="31" xfId="0" applyNumberFormat="1" applyFont="1" applyBorder="1" applyAlignment="1">
      <alignment horizontal="center" vertical="center" wrapText="1"/>
    </xf>
    <xf numFmtId="4" fontId="73" fillId="0" borderId="31" xfId="0" applyNumberFormat="1" applyFont="1" applyBorder="1" applyAlignment="1" applyProtection="1">
      <alignment horizontal="center" vertical="center"/>
      <protection locked="0"/>
    </xf>
    <xf numFmtId="166" fontId="68" fillId="6" borderId="59" xfId="72" applyFont="1" applyFill="1" applyBorder="1" applyAlignment="1">
      <alignment horizontal="right" vertical="center"/>
    </xf>
    <xf numFmtId="166" fontId="68" fillId="3" borderId="59" xfId="72" applyFont="1" applyFill="1" applyBorder="1" applyAlignment="1">
      <alignment horizontal="right" vertical="center"/>
    </xf>
    <xf numFmtId="0" fontId="74" fillId="0" borderId="59" xfId="0" applyFont="1" applyBorder="1" applyAlignment="1">
      <alignment horizontal="center" vertical="center"/>
    </xf>
    <xf numFmtId="15" fontId="74" fillId="0" borderId="59" xfId="0" applyNumberFormat="1" applyFont="1" applyBorder="1" applyAlignment="1">
      <alignment horizontal="center" vertical="center"/>
    </xf>
    <xf numFmtId="0" fontId="74" fillId="7" borderId="0" xfId="0" applyFont="1" applyFill="1" applyAlignment="1">
      <alignment horizontal="center" vertical="center"/>
    </xf>
    <xf numFmtId="15" fontId="74" fillId="7" borderId="0" xfId="0" applyNumberFormat="1" applyFont="1" applyFill="1" applyAlignment="1">
      <alignment horizontal="center" vertical="center"/>
    </xf>
    <xf numFmtId="3" fontId="74" fillId="7" borderId="0" xfId="0" applyNumberFormat="1" applyFont="1" applyFill="1" applyAlignment="1">
      <alignment horizontal="center" vertical="center"/>
    </xf>
    <xf numFmtId="4" fontId="74" fillId="7" borderId="0" xfId="0" applyNumberFormat="1" applyFont="1" applyFill="1" applyAlignment="1">
      <alignment horizontal="center" vertical="center"/>
    </xf>
    <xf numFmtId="3" fontId="78" fillId="7" borderId="0" xfId="0" applyNumberFormat="1" applyFont="1" applyFill="1" applyAlignment="1">
      <alignment horizontal="center" vertical="center"/>
    </xf>
    <xf numFmtId="4" fontId="74" fillId="7" borderId="11" xfId="78" applyNumberFormat="1" applyFont="1" applyFill="1" applyBorder="1" applyAlignment="1" applyProtection="1">
      <alignment vertical="center" wrapText="1"/>
    </xf>
    <xf numFmtId="39" fontId="73" fillId="20" borderId="31" xfId="77" applyNumberFormat="1" applyFont="1" applyFill="1" applyBorder="1" applyAlignment="1" applyProtection="1">
      <alignment horizontal="center" vertical="center"/>
    </xf>
    <xf numFmtId="9" fontId="74" fillId="7" borderId="11" xfId="78" applyFont="1" applyFill="1" applyBorder="1" applyAlignment="1" applyProtection="1">
      <alignment horizontal="center" vertical="center"/>
    </xf>
    <xf numFmtId="4" fontId="74" fillId="7" borderId="129" xfId="0" applyNumberFormat="1" applyFont="1" applyFill="1" applyBorder="1" applyAlignment="1">
      <alignment vertical="center"/>
    </xf>
    <xf numFmtId="0" fontId="57" fillId="0" borderId="0" xfId="0" applyFont="1" applyAlignment="1">
      <alignment horizontal="center" vertical="center" wrapText="1"/>
    </xf>
    <xf numFmtId="166" fontId="15" fillId="3" borderId="19" xfId="72" applyFont="1" applyFill="1" applyBorder="1" applyAlignment="1">
      <alignment vertical="top" wrapText="1"/>
    </xf>
    <xf numFmtId="1" fontId="37" fillId="7" borderId="97" xfId="0" applyNumberFormat="1" applyFont="1" applyFill="1" applyBorder="1" applyAlignment="1">
      <alignment horizontal="center"/>
    </xf>
    <xf numFmtId="1" fontId="48" fillId="6" borderId="98" xfId="0" applyNumberFormat="1" applyFont="1" applyFill="1" applyBorder="1" applyAlignment="1"/>
    <xf numFmtId="1" fontId="48" fillId="17" borderId="97" xfId="0" applyNumberFormat="1" applyFont="1" applyFill="1" applyBorder="1" applyAlignment="1"/>
    <xf numFmtId="1" fontId="48" fillId="17" borderId="97" xfId="0" applyNumberFormat="1" applyFont="1" applyFill="1" applyBorder="1" applyAlignment="1">
      <alignment horizontal="center" vertical="center"/>
    </xf>
    <xf numFmtId="1" fontId="37" fillId="17" borderId="98" xfId="0" applyNumberFormat="1" applyFont="1" applyFill="1" applyBorder="1" applyAlignment="1">
      <alignment horizontal="center"/>
    </xf>
    <xf numFmtId="42" fontId="82" fillId="0" borderId="11" xfId="86" applyNumberFormat="1" applyFont="1"/>
    <xf numFmtId="14" fontId="42" fillId="10" borderId="59" xfId="0" applyNumberFormat="1" applyFont="1" applyFill="1" applyBorder="1" applyAlignment="1">
      <alignment horizontal="left" vertical="center"/>
    </xf>
    <xf numFmtId="49" fontId="2" fillId="0" borderId="8" xfId="0" applyNumberFormat="1" applyFont="1" applyBorder="1" applyAlignment="1">
      <alignment horizontal="left" vertical="center"/>
    </xf>
    <xf numFmtId="3" fontId="2" fillId="0" borderId="9" xfId="0" applyNumberFormat="1" applyFont="1" applyBorder="1" applyAlignment="1">
      <alignment horizontal="left" vertical="center"/>
    </xf>
    <xf numFmtId="49" fontId="18" fillId="0" borderId="15" xfId="0" applyNumberFormat="1" applyFont="1" applyBorder="1" applyAlignment="1">
      <alignment horizontal="left" vertical="center"/>
    </xf>
    <xf numFmtId="49" fontId="18" fillId="0" borderId="16" xfId="0" applyNumberFormat="1" applyFont="1" applyBorder="1" applyAlignment="1">
      <alignment horizontal="left" vertical="center"/>
    </xf>
    <xf numFmtId="49" fontId="12" fillId="5" borderId="6" xfId="0" applyNumberFormat="1" applyFont="1" applyFill="1" applyBorder="1" applyAlignment="1">
      <alignment horizontal="left" vertical="center"/>
    </xf>
    <xf numFmtId="3" fontId="12" fillId="5" borderId="10" xfId="0" applyNumberFormat="1" applyFont="1" applyFill="1" applyBorder="1" applyAlignment="1">
      <alignment horizontal="left" vertical="center"/>
    </xf>
    <xf numFmtId="3" fontId="12" fillId="5" borderId="7" xfId="0" applyNumberFormat="1" applyFont="1" applyFill="1" applyBorder="1" applyAlignment="1">
      <alignment horizontal="left" vertical="center"/>
    </xf>
    <xf numFmtId="49" fontId="7" fillId="5" borderId="6" xfId="0" applyNumberFormat="1" applyFont="1" applyFill="1" applyBorder="1" applyAlignment="1">
      <alignment horizontal="left" vertical="center"/>
    </xf>
    <xf numFmtId="3" fontId="7" fillId="5" borderId="10" xfId="0" applyNumberFormat="1" applyFont="1" applyFill="1" applyBorder="1" applyAlignment="1">
      <alignment horizontal="left" vertical="center"/>
    </xf>
    <xf numFmtId="3" fontId="7" fillId="5" borderId="7" xfId="0" applyNumberFormat="1" applyFont="1" applyFill="1" applyBorder="1" applyAlignment="1">
      <alignment horizontal="left" vertical="center"/>
    </xf>
    <xf numFmtId="0" fontId="21" fillId="0" borderId="17" xfId="0" applyFont="1" applyBorder="1" applyAlignment="1">
      <alignment horizontal="left" vertical="center"/>
    </xf>
    <xf numFmtId="0" fontId="21" fillId="0" borderId="18" xfId="0" applyFont="1" applyBorder="1" applyAlignment="1">
      <alignment horizontal="left" vertical="center"/>
    </xf>
    <xf numFmtId="3" fontId="6" fillId="0" borderId="8" xfId="0" applyNumberFormat="1" applyFont="1" applyBorder="1" applyAlignment="1">
      <alignment horizontal="center" vertical="center"/>
    </xf>
    <xf numFmtId="3" fontId="6" fillId="0" borderId="9" xfId="0" applyNumberFormat="1" applyFont="1" applyBorder="1" applyAlignment="1">
      <alignment horizontal="center" vertical="center"/>
    </xf>
    <xf numFmtId="0" fontId="55" fillId="0" borderId="17" xfId="0" applyFont="1" applyBorder="1" applyAlignment="1">
      <alignment horizontal="left" vertical="center"/>
    </xf>
    <xf numFmtId="0" fontId="55" fillId="0" borderId="18" xfId="0" applyFont="1" applyBorder="1" applyAlignment="1">
      <alignment horizontal="left" vertical="center"/>
    </xf>
    <xf numFmtId="0" fontId="51" fillId="0" borderId="17" xfId="0" applyFont="1" applyBorder="1" applyAlignment="1">
      <alignment horizontal="left" vertical="center"/>
    </xf>
    <xf numFmtId="0" fontId="51" fillId="0" borderId="18" xfId="0" applyFont="1" applyBorder="1" applyAlignment="1">
      <alignment horizontal="left" vertical="center"/>
    </xf>
    <xf numFmtId="0" fontId="42" fillId="3" borderId="67" xfId="0" applyNumberFormat="1" applyFont="1" applyFill="1" applyBorder="1" applyAlignment="1">
      <alignment horizontal="center" vertical="center" wrapText="1"/>
    </xf>
    <xf numFmtId="0" fontId="42" fillId="3" borderId="68" xfId="0" applyNumberFormat="1" applyFont="1" applyFill="1" applyBorder="1" applyAlignment="1">
      <alignment horizontal="center" vertical="center" wrapText="1"/>
    </xf>
    <xf numFmtId="0" fontId="42" fillId="3" borderId="31" xfId="0" applyNumberFormat="1" applyFont="1" applyFill="1" applyBorder="1" applyAlignment="1">
      <alignment horizontal="center" vertical="center" wrapText="1"/>
    </xf>
    <xf numFmtId="3" fontId="14" fillId="3" borderId="28" xfId="0" applyNumberFormat="1" applyFont="1" applyFill="1" applyBorder="1" applyAlignment="1">
      <alignment horizontal="center" vertical="center"/>
    </xf>
    <xf numFmtId="3" fontId="14" fillId="5" borderId="23" xfId="0" applyNumberFormat="1" applyFont="1" applyFill="1" applyBorder="1" applyAlignment="1">
      <alignment horizontal="center" vertical="center"/>
    </xf>
    <xf numFmtId="49" fontId="3" fillId="5" borderId="6" xfId="0" applyNumberFormat="1" applyFont="1" applyFill="1" applyBorder="1" applyAlignment="1">
      <alignment horizontal="center" vertical="center"/>
    </xf>
    <xf numFmtId="3" fontId="3" fillId="5" borderId="7" xfId="0" applyNumberFormat="1" applyFont="1" applyFill="1" applyBorder="1" applyAlignment="1">
      <alignment horizontal="center" vertical="center"/>
    </xf>
    <xf numFmtId="3" fontId="23" fillId="0" borderId="1" xfId="0" applyNumberFormat="1" applyFont="1" applyBorder="1" applyAlignment="1">
      <alignment horizontal="center" vertical="center"/>
    </xf>
    <xf numFmtId="3" fontId="23" fillId="0" borderId="70" xfId="0" applyNumberFormat="1" applyFont="1" applyBorder="1" applyAlignment="1">
      <alignment horizontal="center" vertical="center"/>
    </xf>
    <xf numFmtId="3" fontId="23" fillId="0" borderId="2" xfId="0" applyNumberFormat="1" applyFont="1" applyBorder="1" applyAlignment="1">
      <alignment horizontal="center" vertical="center"/>
    </xf>
    <xf numFmtId="3" fontId="23" fillId="0" borderId="59" xfId="0" applyNumberFormat="1" applyFont="1" applyBorder="1" applyAlignment="1">
      <alignment horizontal="center" vertical="center" wrapText="1"/>
    </xf>
    <xf numFmtId="0" fontId="68" fillId="0" borderId="116" xfId="79" applyFont="1" applyBorder="1" applyAlignment="1">
      <alignment horizontal="center" vertical="center"/>
    </xf>
    <xf numFmtId="0" fontId="68" fillId="0" borderId="120" xfId="79" applyFont="1" applyBorder="1" applyAlignment="1">
      <alignment horizontal="center" vertical="center"/>
    </xf>
    <xf numFmtId="4" fontId="73" fillId="19" borderId="59" xfId="78" applyNumberFormat="1" applyFont="1" applyFill="1" applyBorder="1" applyAlignment="1" applyProtection="1">
      <alignment horizontal="center" vertical="center"/>
    </xf>
    <xf numFmtId="4" fontId="74" fillId="0" borderId="102" xfId="0" applyNumberFormat="1" applyFont="1" applyBorder="1" applyAlignment="1">
      <alignment horizontal="center" vertical="center"/>
    </xf>
    <xf numFmtId="4" fontId="74" fillId="0" borderId="103" xfId="0" applyNumberFormat="1" applyFont="1" applyBorder="1" applyAlignment="1">
      <alignment horizontal="center" vertical="center"/>
    </xf>
    <xf numFmtId="4" fontId="74" fillId="0" borderId="106" xfId="0" applyNumberFormat="1" applyFont="1" applyBorder="1" applyAlignment="1">
      <alignment horizontal="center" vertical="center"/>
    </xf>
    <xf numFmtId="4" fontId="74" fillId="0" borderId="59" xfId="0" applyNumberFormat="1" applyFont="1" applyBorder="1" applyAlignment="1">
      <alignment horizontal="center" vertical="center"/>
    </xf>
    <xf numFmtId="4" fontId="73" fillId="0" borderId="103" xfId="0" applyNumberFormat="1" applyFont="1" applyBorder="1" applyAlignment="1" applyProtection="1">
      <alignment horizontal="center" vertical="center"/>
      <protection locked="0"/>
    </xf>
    <xf numFmtId="4" fontId="73" fillId="0" borderId="59" xfId="0" applyNumberFormat="1" applyFont="1" applyBorder="1" applyAlignment="1" applyProtection="1">
      <alignment horizontal="center" vertical="center"/>
      <protection locked="0"/>
    </xf>
    <xf numFmtId="4" fontId="74" fillId="0" borderId="105" xfId="0" applyNumberFormat="1" applyFont="1" applyBorder="1" applyAlignment="1" applyProtection="1">
      <alignment horizontal="center" vertical="center"/>
      <protection locked="0"/>
    </xf>
    <xf numFmtId="4" fontId="74" fillId="0" borderId="100" xfId="0" applyNumberFormat="1" applyFont="1" applyBorder="1" applyAlignment="1" applyProtection="1">
      <alignment horizontal="center" vertical="center"/>
      <protection locked="0"/>
    </xf>
    <xf numFmtId="4" fontId="74" fillId="0" borderId="108" xfId="0" applyNumberFormat="1" applyFont="1" applyBorder="1" applyAlignment="1" applyProtection="1">
      <alignment horizontal="center" vertical="center"/>
      <protection locked="0"/>
    </xf>
    <xf numFmtId="4" fontId="74" fillId="0" borderId="109" xfId="0" applyNumberFormat="1" applyFont="1" applyBorder="1" applyAlignment="1" applyProtection="1">
      <alignment horizontal="center" vertical="center"/>
      <protection locked="0"/>
    </xf>
    <xf numFmtId="4" fontId="74" fillId="0" borderId="122" xfId="0" applyNumberFormat="1" applyFont="1" applyBorder="1" applyAlignment="1" applyProtection="1">
      <alignment horizontal="center" vertical="center"/>
      <protection locked="0"/>
    </xf>
    <xf numFmtId="4" fontId="74" fillId="0" borderId="124" xfId="0" applyNumberFormat="1" applyFont="1" applyBorder="1" applyAlignment="1" applyProtection="1">
      <alignment horizontal="center" vertical="center"/>
      <protection locked="0"/>
    </xf>
    <xf numFmtId="4" fontId="73" fillId="0" borderId="95" xfId="0" applyNumberFormat="1" applyFont="1" applyBorder="1" applyAlignment="1" applyProtection="1">
      <alignment horizontal="center" vertical="center"/>
      <protection locked="0"/>
    </xf>
    <xf numFmtId="4" fontId="73" fillId="0" borderId="96" xfId="0" applyNumberFormat="1" applyFont="1" applyBorder="1" applyAlignment="1" applyProtection="1">
      <alignment horizontal="center" vertical="center"/>
      <protection locked="0"/>
    </xf>
    <xf numFmtId="4" fontId="73" fillId="0" borderId="110" xfId="0" applyNumberFormat="1" applyFont="1" applyBorder="1" applyAlignment="1" applyProtection="1">
      <alignment horizontal="center" vertical="center"/>
      <protection locked="0"/>
    </xf>
    <xf numFmtId="4" fontId="73" fillId="0" borderId="93" xfId="0" applyNumberFormat="1" applyFont="1" applyBorder="1" applyAlignment="1" applyProtection="1">
      <alignment horizontal="center" vertical="center"/>
      <protection locked="0"/>
    </xf>
    <xf numFmtId="4" fontId="73" fillId="0" borderId="0" xfId="0" applyNumberFormat="1" applyFont="1" applyAlignment="1" applyProtection="1">
      <alignment horizontal="center" vertical="center"/>
      <protection locked="0"/>
    </xf>
    <xf numFmtId="4" fontId="73" fillId="0" borderId="54" xfId="0" applyNumberFormat="1" applyFont="1" applyBorder="1" applyAlignment="1" applyProtection="1">
      <alignment horizontal="center" vertical="center"/>
      <protection locked="0"/>
    </xf>
    <xf numFmtId="4" fontId="73" fillId="0" borderId="128" xfId="0" applyNumberFormat="1" applyFont="1" applyBorder="1" applyAlignment="1" applyProtection="1">
      <alignment horizontal="center" vertical="center"/>
      <protection locked="0"/>
    </xf>
    <xf numFmtId="4" fontId="73" fillId="0" borderId="129" xfId="0" applyNumberFormat="1" applyFont="1" applyBorder="1" applyAlignment="1" applyProtection="1">
      <alignment horizontal="center" vertical="center"/>
      <protection locked="0"/>
    </xf>
    <xf numFmtId="4" fontId="73" fillId="0" borderId="130" xfId="0" applyNumberFormat="1" applyFont="1" applyBorder="1" applyAlignment="1" applyProtection="1">
      <alignment horizontal="center" vertical="center"/>
      <protection locked="0"/>
    </xf>
    <xf numFmtId="0" fontId="73" fillId="0" borderId="95" xfId="11" applyFont="1" applyBorder="1" applyAlignment="1">
      <alignment horizontal="center" vertical="center"/>
    </xf>
    <xf numFmtId="0" fontId="73" fillId="0" borderId="111" xfId="11" applyFont="1" applyBorder="1" applyAlignment="1">
      <alignment horizontal="center" vertical="center"/>
    </xf>
    <xf numFmtId="0" fontId="73" fillId="0" borderId="93" xfId="11" applyFont="1" applyBorder="1" applyAlignment="1">
      <alignment horizontal="center" vertical="center"/>
    </xf>
    <xf numFmtId="0" fontId="73" fillId="0" borderId="109" xfId="11" applyFont="1" applyBorder="1" applyAlignment="1">
      <alignment horizontal="center" vertical="center"/>
    </xf>
    <xf numFmtId="0" fontId="73" fillId="0" borderId="128" xfId="11" applyFont="1" applyBorder="1" applyAlignment="1">
      <alignment horizontal="center" vertical="center"/>
    </xf>
    <xf numFmtId="0" fontId="73" fillId="0" borderId="131" xfId="11" applyFont="1" applyBorder="1" applyAlignment="1">
      <alignment horizontal="center" vertical="center"/>
    </xf>
    <xf numFmtId="4" fontId="73" fillId="0" borderId="113" xfId="0" applyNumberFormat="1" applyFont="1" applyBorder="1" applyAlignment="1">
      <alignment horizontal="left" vertical="center"/>
    </xf>
    <xf numFmtId="4" fontId="73" fillId="0" borderId="114" xfId="0" applyNumberFormat="1" applyFont="1" applyBorder="1" applyAlignment="1">
      <alignment horizontal="left" vertical="center"/>
    </xf>
    <xf numFmtId="4" fontId="73" fillId="0" borderId="115" xfId="0" applyNumberFormat="1" applyFont="1" applyBorder="1" applyAlignment="1">
      <alignment horizontal="left" vertical="center"/>
    </xf>
    <xf numFmtId="0" fontId="68" fillId="0" borderId="102" xfId="79" applyFont="1" applyBorder="1" applyAlignment="1">
      <alignment horizontal="center" vertical="center"/>
    </xf>
    <xf numFmtId="0" fontId="68" fillId="0" borderId="103" xfId="79" applyFont="1" applyBorder="1" applyAlignment="1">
      <alignment horizontal="center" vertical="center"/>
    </xf>
    <xf numFmtId="14" fontId="73" fillId="0" borderId="117" xfId="0" applyNumberFormat="1" applyFont="1" applyBorder="1" applyAlignment="1">
      <alignment horizontal="center" vertical="center"/>
    </xf>
    <xf numFmtId="14" fontId="73" fillId="0" borderId="118" xfId="0" applyNumberFormat="1" applyFont="1" applyBorder="1" applyAlignment="1">
      <alignment horizontal="center" vertical="center"/>
    </xf>
    <xf numFmtId="14" fontId="73" fillId="0" borderId="119" xfId="0" applyNumberFormat="1" applyFont="1" applyBorder="1" applyAlignment="1">
      <alignment horizontal="center" vertical="center"/>
    </xf>
    <xf numFmtId="0" fontId="80" fillId="0" borderId="125" xfId="0" applyFont="1" applyBorder="1" applyAlignment="1">
      <alignment horizontal="center" vertical="top" wrapText="1"/>
    </xf>
    <xf numFmtId="0" fontId="80" fillId="0" borderId="126" xfId="0" applyFont="1" applyBorder="1" applyAlignment="1">
      <alignment horizontal="center" vertical="top" wrapText="1"/>
    </xf>
    <xf numFmtId="0" fontId="15" fillId="3" borderId="59" xfId="0" applyFont="1" applyFill="1" applyBorder="1" applyAlignment="1">
      <alignment horizontal="center" vertical="top" wrapText="1"/>
    </xf>
    <xf numFmtId="0" fontId="24" fillId="4" borderId="85" xfId="0" applyFont="1" applyFill="1" applyBorder="1" applyAlignment="1">
      <alignment horizontal="center" vertical="center"/>
    </xf>
    <xf numFmtId="0" fontId="24" fillId="4" borderId="86" xfId="0" applyFont="1" applyFill="1" applyBorder="1" applyAlignment="1">
      <alignment horizontal="center" vertical="center"/>
    </xf>
    <xf numFmtId="0" fontId="24" fillId="17" borderId="31" xfId="0" applyFont="1" applyFill="1" applyBorder="1" applyAlignment="1">
      <alignment horizontal="center" vertical="center"/>
    </xf>
    <xf numFmtId="0" fontId="24" fillId="17" borderId="28" xfId="0" applyFont="1" applyFill="1" applyBorder="1" applyAlignment="1">
      <alignment horizontal="center" vertical="center"/>
    </xf>
    <xf numFmtId="0" fontId="15" fillId="0" borderId="28" xfId="0" applyFont="1" applyBorder="1" applyAlignment="1">
      <alignment horizontal="center" vertical="top" wrapText="1"/>
    </xf>
    <xf numFmtId="0" fontId="24" fillId="0" borderId="31" xfId="0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/>
    </xf>
    <xf numFmtId="0" fontId="24" fillId="4" borderId="31" xfId="0" applyFont="1" applyFill="1" applyBorder="1" applyAlignment="1">
      <alignment horizontal="center" vertical="center"/>
    </xf>
    <xf numFmtId="0" fontId="24" fillId="4" borderId="28" xfId="0" applyFont="1" applyFill="1" applyBorder="1" applyAlignment="1">
      <alignment horizontal="center" vertical="center"/>
    </xf>
    <xf numFmtId="0" fontId="15" fillId="4" borderId="28" xfId="0" applyFont="1" applyFill="1" applyBorder="1" applyAlignment="1">
      <alignment horizontal="center" vertical="top" wrapText="1"/>
    </xf>
    <xf numFmtId="0" fontId="28" fillId="0" borderId="19" xfId="0" applyFont="1" applyBorder="1" applyAlignment="1">
      <alignment horizontal="center" vertical="center"/>
    </xf>
    <xf numFmtId="0" fontId="28" fillId="0" borderId="27" xfId="0" applyFont="1" applyBorder="1" applyAlignment="1">
      <alignment horizontal="center" vertical="center"/>
    </xf>
    <xf numFmtId="0" fontId="15" fillId="17" borderId="28" xfId="0" applyFont="1" applyFill="1" applyBorder="1" applyAlignment="1">
      <alignment horizontal="center" vertical="top" wrapText="1"/>
    </xf>
    <xf numFmtId="0" fontId="34" fillId="6" borderId="42" xfId="0" applyFont="1" applyFill="1" applyBorder="1" applyAlignment="1">
      <alignment horizontal="center" vertical="center" wrapText="1"/>
    </xf>
    <xf numFmtId="0" fontId="34" fillId="6" borderId="43" xfId="0" applyFont="1" applyFill="1" applyBorder="1" applyAlignment="1">
      <alignment horizontal="center" vertical="center" wrapText="1"/>
    </xf>
    <xf numFmtId="0" fontId="34" fillId="6" borderId="44" xfId="0" applyFont="1" applyFill="1" applyBorder="1" applyAlignment="1">
      <alignment horizontal="center" vertical="center" wrapText="1"/>
    </xf>
    <xf numFmtId="0" fontId="34" fillId="6" borderId="45" xfId="0" applyFont="1" applyFill="1" applyBorder="1" applyAlignment="1">
      <alignment horizontal="center" vertical="center" wrapText="1"/>
    </xf>
    <xf numFmtId="0" fontId="34" fillId="6" borderId="46" xfId="0" applyFont="1" applyFill="1" applyBorder="1" applyAlignment="1">
      <alignment horizontal="center" vertical="center" wrapText="1"/>
    </xf>
    <xf numFmtId="0" fontId="34" fillId="6" borderId="47" xfId="0" applyFont="1" applyFill="1" applyBorder="1" applyAlignment="1">
      <alignment horizontal="center" vertical="center" wrapText="1"/>
    </xf>
    <xf numFmtId="0" fontId="15" fillId="0" borderId="28" xfId="0" applyFont="1" applyBorder="1" applyAlignment="1">
      <alignment horizontal="center" vertical="center" wrapText="1"/>
    </xf>
    <xf numFmtId="0" fontId="46" fillId="5" borderId="59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40" fillId="0" borderId="54" xfId="0" applyFont="1" applyBorder="1" applyAlignment="1">
      <alignment horizontal="right" vertical="center"/>
    </xf>
    <xf numFmtId="0" fontId="0" fillId="3" borderId="59" xfId="0" applyFill="1" applyBorder="1" applyAlignment="1">
      <alignment horizontal="left" vertical="center" wrapText="1"/>
    </xf>
    <xf numFmtId="0" fontId="40" fillId="5" borderId="59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 wrapText="1"/>
    </xf>
    <xf numFmtId="0" fontId="34" fillId="6" borderId="28" xfId="0" applyFont="1" applyFill="1" applyBorder="1" applyAlignment="1">
      <alignment horizontal="center" vertical="center" wrapText="1"/>
    </xf>
    <xf numFmtId="0" fontId="33" fillId="0" borderId="36" xfId="0" applyFont="1" applyBorder="1" applyAlignment="1">
      <alignment horizontal="center" vertical="center" wrapText="1"/>
    </xf>
    <xf numFmtId="0" fontId="33" fillId="0" borderId="37" xfId="0" applyFont="1" applyBorder="1" applyAlignment="1">
      <alignment horizontal="center" vertical="center" wrapText="1"/>
    </xf>
    <xf numFmtId="0" fontId="33" fillId="0" borderId="11" xfId="0" applyFont="1" applyBorder="1" applyAlignment="1">
      <alignment horizontal="center" vertical="center" wrapText="1"/>
    </xf>
    <xf numFmtId="0" fontId="33" fillId="0" borderId="38" xfId="0" applyFont="1" applyBorder="1" applyAlignment="1">
      <alignment horizontal="center" vertical="center" wrapText="1"/>
    </xf>
    <xf numFmtId="0" fontId="33" fillId="0" borderId="40" xfId="0" applyFont="1" applyBorder="1" applyAlignment="1">
      <alignment horizontal="center" vertical="center" wrapText="1"/>
    </xf>
    <xf numFmtId="0" fontId="33" fillId="0" borderId="41" xfId="0" applyFont="1" applyBorder="1" applyAlignment="1">
      <alignment horizontal="center" vertical="center" wrapText="1"/>
    </xf>
    <xf numFmtId="0" fontId="59" fillId="0" borderId="36" xfId="0" applyFont="1" applyBorder="1" applyAlignment="1">
      <alignment horizontal="center" vertical="center" wrapText="1"/>
    </xf>
    <xf numFmtId="0" fontId="59" fillId="0" borderId="37" xfId="0" applyFont="1" applyBorder="1" applyAlignment="1">
      <alignment horizontal="center" vertical="center" wrapText="1"/>
    </xf>
    <xf numFmtId="0" fontId="59" fillId="0" borderId="11" xfId="0" applyFont="1" applyBorder="1" applyAlignment="1">
      <alignment horizontal="center" vertical="center" wrapText="1"/>
    </xf>
    <xf numFmtId="0" fontId="59" fillId="0" borderId="38" xfId="0" applyFont="1" applyBorder="1" applyAlignment="1">
      <alignment horizontal="center" vertical="center" wrapText="1"/>
    </xf>
    <xf numFmtId="0" fontId="59" fillId="0" borderId="40" xfId="0" applyFont="1" applyBorder="1" applyAlignment="1">
      <alignment horizontal="center" vertical="center" wrapText="1"/>
    </xf>
    <xf numFmtId="0" fontId="59" fillId="0" borderId="41" xfId="0" applyFont="1" applyBorder="1" applyAlignment="1">
      <alignment horizontal="center" vertical="center" wrapText="1"/>
    </xf>
    <xf numFmtId="0" fontId="60" fillId="6" borderId="28" xfId="0" applyFont="1" applyFill="1" applyBorder="1" applyAlignment="1">
      <alignment horizontal="center" vertical="center" wrapText="1"/>
    </xf>
    <xf numFmtId="0" fontId="59" fillId="0" borderId="28" xfId="0" applyFont="1" applyBorder="1" applyAlignment="1">
      <alignment horizontal="center" vertical="center" wrapText="1"/>
    </xf>
    <xf numFmtId="0" fontId="33" fillId="0" borderId="35" xfId="0" applyFont="1" applyBorder="1" applyAlignment="1">
      <alignment horizontal="center" vertical="center" wrapText="1"/>
    </xf>
    <xf numFmtId="0" fontId="33" fillId="0" borderId="34" xfId="0" applyFont="1" applyBorder="1" applyAlignment="1">
      <alignment horizontal="center" vertical="center" wrapText="1"/>
    </xf>
    <xf numFmtId="0" fontId="33" fillId="0" borderId="39" xfId="0" applyFont="1" applyBorder="1" applyAlignment="1">
      <alignment horizontal="center" vertical="center" wrapText="1"/>
    </xf>
    <xf numFmtId="0" fontId="28" fillId="0" borderId="28" xfId="0" applyFont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</cellXfs>
  <cellStyles count="89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2" builtinId="9" hidden="1"/>
    <cellStyle name="Hipervínculo visitado" xfId="13" builtinId="9" hidden="1"/>
    <cellStyle name="Hipervínculo visitado" xfId="14" builtinId="9" hidden="1"/>
    <cellStyle name="Hipervínculo visitado" xfId="15" builtinId="9" hidden="1"/>
    <cellStyle name="Hipervínculo visitado" xfId="16" builtinId="9" hidden="1"/>
    <cellStyle name="Hipervínculo visitado" xfId="17" builtinId="9" hidden="1"/>
    <cellStyle name="Hipervínculo visitado" xfId="18" builtinId="9" hidden="1"/>
    <cellStyle name="Hipervínculo visitado" xfId="19" builtinId="9" hidden="1"/>
    <cellStyle name="Hipervínculo visitado" xfId="20" builtinId="9" hidden="1"/>
    <cellStyle name="Hipervínculo visitado" xfId="21" builtinId="9" hidden="1"/>
    <cellStyle name="Hipervínculo visitado" xfId="22" builtinId="9" hidden="1"/>
    <cellStyle name="Hipervínculo visitado" xfId="23" builtinId="9" hidden="1"/>
    <cellStyle name="Hipervínculo visitado" xfId="24" builtinId="9" hidden="1"/>
    <cellStyle name="Hipervínculo visitado" xfId="25" builtinId="9" hidden="1"/>
    <cellStyle name="Hipervínculo visitado" xfId="26" builtinId="9" hidden="1"/>
    <cellStyle name="Hipervínculo visitado" xfId="27" builtinId="9" hidden="1"/>
    <cellStyle name="Hipervínculo visitado" xfId="28" builtinId="9" hidden="1"/>
    <cellStyle name="Hipervínculo visitado" xfId="29" builtinId="9" hidden="1"/>
    <cellStyle name="Hipervínculo visitado" xfId="30" builtinId="9" hidden="1"/>
    <cellStyle name="Hipervínculo visitado" xfId="31" builtinId="9" hidden="1"/>
    <cellStyle name="Hipervínculo visitado" xfId="32" builtinId="9" hidden="1"/>
    <cellStyle name="Hipervínculo visitado" xfId="33" builtinId="9" hidden="1"/>
    <cellStyle name="Hipervínculo visitado" xfId="34" builtinId="9" hidden="1"/>
    <cellStyle name="Hipervínculo visitado" xfId="35" builtinId="9" hidden="1"/>
    <cellStyle name="Hipervínculo visitado" xfId="36" builtinId="9" hidden="1"/>
    <cellStyle name="Hipervínculo visitado" xfId="37" builtinId="9" hidden="1"/>
    <cellStyle name="Hipervínculo visitado" xfId="38" builtinId="9" hidden="1"/>
    <cellStyle name="Hipervínculo visitado" xfId="39" builtinId="9" hidden="1"/>
    <cellStyle name="Hipervínculo visitado" xfId="40" builtinId="9" hidden="1"/>
    <cellStyle name="Hipervínculo visitado" xfId="41" builtinId="9" hidden="1"/>
    <cellStyle name="Hipervínculo visitado" xfId="42" builtinId="9" hidden="1"/>
    <cellStyle name="Hipervínculo visitado" xfId="43" builtinId="9" hidden="1"/>
    <cellStyle name="Hipervínculo visitado" xfId="44" builtinId="9" hidden="1"/>
    <cellStyle name="Hipervínculo visitado" xfId="45" builtinId="9" hidden="1"/>
    <cellStyle name="Hipervínculo visitado" xfId="46" builtinId="9" hidden="1"/>
    <cellStyle name="Hipervínculo visitado" xfId="47" builtinId="9" hidden="1"/>
    <cellStyle name="Hipervínculo visitado" xfId="48" builtinId="9" hidden="1"/>
    <cellStyle name="Hipervínculo visitado" xfId="49" builtinId="9" hidden="1"/>
    <cellStyle name="Hipervínculo visitado" xfId="50" builtinId="9" hidden="1"/>
    <cellStyle name="Hipervínculo visitado" xfId="51" builtinId="9" hidden="1"/>
    <cellStyle name="Hipervínculo visitado" xfId="52" builtinId="9" hidden="1"/>
    <cellStyle name="Hipervínculo visitado" xfId="53" builtinId="9" hidden="1"/>
    <cellStyle name="Hipervínculo visitado" xfId="54" builtinId="9" hidden="1"/>
    <cellStyle name="Hipervínculo visitado" xfId="55" builtinId="9" hidden="1"/>
    <cellStyle name="Hipervínculo visitado" xfId="56" builtinId="9" hidden="1"/>
    <cellStyle name="Hipervínculo visitado" xfId="57" builtinId="9" hidden="1"/>
    <cellStyle name="Hipervínculo visitado" xfId="58" builtinId="9" hidden="1"/>
    <cellStyle name="Hipervínculo visitado" xfId="59" builtinId="9" hidden="1"/>
    <cellStyle name="Hipervínculo visitado" xfId="60" builtinId="9" hidden="1"/>
    <cellStyle name="Hipervínculo visitado" xfId="61" builtinId="9" hidden="1"/>
    <cellStyle name="Hipervínculo visitado" xfId="62" builtinId="9" hidden="1"/>
    <cellStyle name="Hipervínculo visitado" xfId="63" builtinId="9" hidden="1"/>
    <cellStyle name="Hipervínculo visitado" xfId="64" builtinId="9" hidden="1"/>
    <cellStyle name="Hipervínculo visitado" xfId="65" builtinId="9" hidden="1"/>
    <cellStyle name="Hipervínculo visitado" xfId="66" builtinId="9" hidden="1"/>
    <cellStyle name="Hipervínculo visitado" xfId="67" builtinId="9" hidden="1"/>
    <cellStyle name="Hipervínculo visitado" xfId="68" builtinId="9" hidden="1"/>
    <cellStyle name="Hipervínculo visitado" xfId="69" builtinId="9" hidden="1"/>
    <cellStyle name="Hipervínculo visitado" xfId="70" builtinId="9" hidden="1"/>
    <cellStyle name="Hipervínculo visitado" xfId="71" builtinId="9" hidden="1"/>
    <cellStyle name="Millares" xfId="76" builtinId="3"/>
    <cellStyle name="Millares [0]" xfId="80" builtinId="6"/>
    <cellStyle name="Millares 2" xfId="81" xr:uid="{00000000-0005-0000-0000-000046000000}"/>
    <cellStyle name="Millares 3" xfId="10" xr:uid="{00000000-0005-0000-0000-000047000000}"/>
    <cellStyle name="Moneda" xfId="77" builtinId="4"/>
    <cellStyle name="Moneda [0]" xfId="72" builtinId="7"/>
    <cellStyle name="Moneda [0] 2" xfId="85" xr:uid="{0784E6D8-E35E-469F-B439-5761A5F0E72B}"/>
    <cellStyle name="Moneda 2" xfId="88" xr:uid="{CC7F635A-CB44-4A19-8D0F-F76395329190}"/>
    <cellStyle name="Moneda 3" xfId="87" xr:uid="{3BF76A5B-A329-46D6-A3E7-0A7076DE9AE1}"/>
    <cellStyle name="Neutral 2" xfId="82" xr:uid="{00000000-0005-0000-0000-00004A000000}"/>
    <cellStyle name="Normal" xfId="0" builtinId="0"/>
    <cellStyle name="Normal 12 3" xfId="75" xr:uid="{00000000-0005-0000-0000-00004C000000}"/>
    <cellStyle name="Normal 2" xfId="9" xr:uid="{00000000-0005-0000-0000-00004D000000}"/>
    <cellStyle name="Normal 2 2" xfId="11" xr:uid="{00000000-0005-0000-0000-00004E000000}"/>
    <cellStyle name="Normal 2 2 2 3" xfId="74" xr:uid="{00000000-0005-0000-0000-00004F000000}"/>
    <cellStyle name="Normal 2 4 2" xfId="84" xr:uid="{63BBBA1A-79D0-374B-B6D9-913ACAB81379}"/>
    <cellStyle name="Normal 3" xfId="73" xr:uid="{00000000-0005-0000-0000-000050000000}"/>
    <cellStyle name="Normal 4" xfId="86" xr:uid="{4DBE34FC-9F9C-4FAA-BF4F-E6C6490D01FF}"/>
    <cellStyle name="Normal 4 2" xfId="79" xr:uid="{00000000-0005-0000-0000-000051000000}"/>
    <cellStyle name="Porcentaje" xfId="78" builtinId="5"/>
    <cellStyle name="Total 2" xfId="83" xr:uid="{00000000-0005-0000-0000-000054000000}"/>
  </cellStyles>
  <dxfs count="5"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</dxfs>
  <tableStyles count="0" defaultPivotStyle="PivotStyleMedium4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0070C0"/>
      <rgbColor rgb="FFFF0000"/>
      <rgbColor rgb="FF003366"/>
      <rgbColor rgb="FFB2B1A8"/>
      <rgbColor rgb="FFFFFFFF"/>
      <rgbColor rgb="FFFFFF00"/>
      <rgbColor rgb="FF333399"/>
      <rgbColor rgb="FFFF2C2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5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5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emf"/><Relationship Id="rId1" Type="http://schemas.openxmlformats.org/officeDocument/2006/relationships/image" Target="../media/image2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51773</xdr:colOff>
      <xdr:row>1</xdr:row>
      <xdr:rowOff>256214</xdr:rowOff>
    </xdr:from>
    <xdr:to>
      <xdr:col>2</xdr:col>
      <xdr:colOff>2213429</xdr:colOff>
      <xdr:row>7</xdr:row>
      <xdr:rowOff>57486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202" y="637214"/>
          <a:ext cx="2488227" cy="17969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33618</xdr:colOff>
      <xdr:row>0</xdr:row>
      <xdr:rowOff>56029</xdr:rowOff>
    </xdr:from>
    <xdr:to>
      <xdr:col>2</xdr:col>
      <xdr:colOff>1532905</xdr:colOff>
      <xdr:row>2</xdr:row>
      <xdr:rowOff>76200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418" y="56029"/>
          <a:ext cx="2026337" cy="401171"/>
        </a:xfrm>
        <a:prstGeom prst="rect">
          <a:avLst/>
        </a:prstGeom>
      </xdr:spPr>
    </xdr:pic>
    <xdr:clientData/>
  </xdr:twoCellAnchor>
  <xdr:twoCellAnchor editAs="oneCell">
    <xdr:from>
      <xdr:col>2</xdr:col>
      <xdr:colOff>4320988</xdr:colOff>
      <xdr:row>0</xdr:row>
      <xdr:rowOff>98613</xdr:rowOff>
    </xdr:from>
    <xdr:to>
      <xdr:col>4</xdr:col>
      <xdr:colOff>323326</xdr:colOff>
      <xdr:row>2</xdr:row>
      <xdr:rowOff>88900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68688" y="98613"/>
          <a:ext cx="1866563" cy="371287"/>
        </a:xfrm>
        <a:prstGeom prst="rect">
          <a:avLst/>
        </a:prstGeom>
      </xdr:spPr>
    </xdr:pic>
    <xdr:clientData/>
  </xdr:twoCellAnchor>
  <xdr:twoCellAnchor editAs="oneCell">
    <xdr:from>
      <xdr:col>1</xdr:col>
      <xdr:colOff>33618</xdr:colOff>
      <xdr:row>0</xdr:row>
      <xdr:rowOff>56029</xdr:rowOff>
    </xdr:from>
    <xdr:to>
      <xdr:col>2</xdr:col>
      <xdr:colOff>1539255</xdr:colOff>
      <xdr:row>2</xdr:row>
      <xdr:rowOff>168047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593" y="56029"/>
          <a:ext cx="1972362" cy="512068"/>
        </a:xfrm>
        <a:prstGeom prst="rect">
          <a:avLst/>
        </a:prstGeom>
      </xdr:spPr>
    </xdr:pic>
    <xdr:clientData/>
  </xdr:twoCellAnchor>
  <xdr:twoCellAnchor editAs="oneCell">
    <xdr:from>
      <xdr:col>2</xdr:col>
      <xdr:colOff>4320988</xdr:colOff>
      <xdr:row>0</xdr:row>
      <xdr:rowOff>98613</xdr:rowOff>
    </xdr:from>
    <xdr:to>
      <xdr:col>4</xdr:col>
      <xdr:colOff>701151</xdr:colOff>
      <xdr:row>2</xdr:row>
      <xdr:rowOff>171343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68688" y="98613"/>
          <a:ext cx="1809413" cy="4727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282222</xdr:colOff>
      <xdr:row>0</xdr:row>
      <xdr:rowOff>0</xdr:rowOff>
    </xdr:from>
    <xdr:to>
      <xdr:col>1</xdr:col>
      <xdr:colOff>764772</xdr:colOff>
      <xdr:row>4</xdr:row>
      <xdr:rowOff>166941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222" y="141111"/>
          <a:ext cx="1397000" cy="1018648"/>
        </a:xfrm>
        <a:prstGeom prst="rect">
          <a:avLst/>
        </a:prstGeom>
      </xdr:spPr>
    </xdr:pic>
    <xdr:clientData/>
  </xdr:twoCellAnchor>
  <xdr:twoCellAnchor editAs="oneCell">
    <xdr:from>
      <xdr:col>1</xdr:col>
      <xdr:colOff>933450</xdr:colOff>
      <xdr:row>1</xdr:row>
      <xdr:rowOff>76200</xdr:rowOff>
    </xdr:from>
    <xdr:to>
      <xdr:col>2</xdr:col>
      <xdr:colOff>877454</xdr:colOff>
      <xdr:row>6</xdr:row>
      <xdr:rowOff>62914</xdr:rowOff>
    </xdr:to>
    <xdr:pic>
      <xdr:nvPicPr>
        <xdr:cNvPr id="2" name="Imagen 1" descr="C:\Users\Contructora MM\AppData\Local\Microsoft\Windows\Temporary Internet Files\Content.Word\Logo MM en Alta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304800"/>
          <a:ext cx="1029854" cy="97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279400</xdr:colOff>
      <xdr:row>1</xdr:row>
      <xdr:rowOff>101600</xdr:rowOff>
    </xdr:from>
    <xdr:to>
      <xdr:col>1</xdr:col>
      <xdr:colOff>850900</xdr:colOff>
      <xdr:row>7</xdr:row>
      <xdr:rowOff>116948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400" y="266700"/>
          <a:ext cx="1397000" cy="101864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1</xdr:row>
      <xdr:rowOff>63660</xdr:rowOff>
    </xdr:from>
    <xdr:to>
      <xdr:col>0</xdr:col>
      <xdr:colOff>1168400</xdr:colOff>
      <xdr:row>6</xdr:row>
      <xdr:rowOff>114300</xdr:rowOff>
    </xdr:to>
    <xdr:pic>
      <xdr:nvPicPr>
        <xdr:cNvPr id="7" name="Imagen 6" descr="C:\Users\Contructora MM\AppData\Local\Microsoft\Windows\Temporary Internet Files\Content.Word\Logo MM en Alta.jpg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228760"/>
          <a:ext cx="965200" cy="8761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215900</xdr:colOff>
      <xdr:row>0</xdr:row>
      <xdr:rowOff>101600</xdr:rowOff>
    </xdr:from>
    <xdr:to>
      <xdr:col>1</xdr:col>
      <xdr:colOff>228600</xdr:colOff>
      <xdr:row>6</xdr:row>
      <xdr:rowOff>129648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900" y="101600"/>
          <a:ext cx="1397000" cy="101864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1</xdr:row>
      <xdr:rowOff>63660</xdr:rowOff>
    </xdr:from>
    <xdr:to>
      <xdr:col>0</xdr:col>
      <xdr:colOff>1168400</xdr:colOff>
      <xdr:row>6</xdr:row>
      <xdr:rowOff>114300</xdr:rowOff>
    </xdr:to>
    <xdr:pic>
      <xdr:nvPicPr>
        <xdr:cNvPr id="2" name="Imagen 1" descr="C:\Users\Contructora MM\AppData\Local\Microsoft\Windows\Temporary Internet Files\Content.Word\Logo MM en Alta.jp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225585"/>
          <a:ext cx="965200" cy="8602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215900</xdr:colOff>
      <xdr:row>0</xdr:row>
      <xdr:rowOff>101600</xdr:rowOff>
    </xdr:from>
    <xdr:to>
      <xdr:col>1</xdr:col>
      <xdr:colOff>228600</xdr:colOff>
      <xdr:row>6</xdr:row>
      <xdr:rowOff>129648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900" y="101600"/>
          <a:ext cx="1222375" cy="99959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406400</xdr:colOff>
      <xdr:row>0</xdr:row>
      <xdr:rowOff>152400</xdr:rowOff>
    </xdr:from>
    <xdr:to>
      <xdr:col>1</xdr:col>
      <xdr:colOff>977900</xdr:colOff>
      <xdr:row>7</xdr:row>
      <xdr:rowOff>15348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6400" y="152400"/>
          <a:ext cx="1397000" cy="101864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792043</xdr:colOff>
      <xdr:row>0</xdr:row>
      <xdr:rowOff>136560</xdr:rowOff>
    </xdr:from>
    <xdr:to>
      <xdr:col>3</xdr:col>
      <xdr:colOff>167967</xdr:colOff>
      <xdr:row>7</xdr:row>
      <xdr:rowOff>8111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043" y="136560"/>
          <a:ext cx="1397000" cy="101864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1</xdr:row>
      <xdr:rowOff>0</xdr:rowOff>
    </xdr:from>
    <xdr:to>
      <xdr:col>1</xdr:col>
      <xdr:colOff>876300</xdr:colOff>
      <xdr:row>7</xdr:row>
      <xdr:rowOff>28048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65100"/>
          <a:ext cx="1397000" cy="101864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241300</xdr:colOff>
      <xdr:row>0</xdr:row>
      <xdr:rowOff>127000</xdr:rowOff>
    </xdr:from>
    <xdr:to>
      <xdr:col>1</xdr:col>
      <xdr:colOff>812800</xdr:colOff>
      <xdr:row>6</xdr:row>
      <xdr:rowOff>155048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0" y="127000"/>
          <a:ext cx="1397000" cy="1018648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1</xdr:row>
      <xdr:rowOff>0</xdr:rowOff>
    </xdr:from>
    <xdr:to>
      <xdr:col>1</xdr:col>
      <xdr:colOff>876300</xdr:colOff>
      <xdr:row>7</xdr:row>
      <xdr:rowOff>28048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65100"/>
          <a:ext cx="1327150" cy="101864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254000</xdr:colOff>
      <xdr:row>0</xdr:row>
      <xdr:rowOff>152400</xdr:rowOff>
    </xdr:from>
    <xdr:to>
      <xdr:col>1</xdr:col>
      <xdr:colOff>825500</xdr:colOff>
      <xdr:row>7</xdr:row>
      <xdr:rowOff>15348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52400"/>
          <a:ext cx="1397000" cy="1018648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241300</xdr:colOff>
      <xdr:row>0</xdr:row>
      <xdr:rowOff>127000</xdr:rowOff>
    </xdr:from>
    <xdr:to>
      <xdr:col>1</xdr:col>
      <xdr:colOff>812800</xdr:colOff>
      <xdr:row>6</xdr:row>
      <xdr:rowOff>155048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0" y="127000"/>
          <a:ext cx="1397000" cy="1018648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2</xdr:row>
      <xdr:rowOff>0</xdr:rowOff>
    </xdr:from>
    <xdr:to>
      <xdr:col>1</xdr:col>
      <xdr:colOff>558800</xdr:colOff>
      <xdr:row>6</xdr:row>
      <xdr:rowOff>104248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200" y="330200"/>
          <a:ext cx="1397000" cy="1018648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165100</xdr:colOff>
          <xdr:row>25</xdr:row>
          <xdr:rowOff>0</xdr:rowOff>
        </xdr:from>
        <xdr:to>
          <xdr:col>3</xdr:col>
          <xdr:colOff>444500</xdr:colOff>
          <xdr:row>25</xdr:row>
          <xdr:rowOff>0</xdr:rowOff>
        </xdr:to>
        <xdr:sp macro="" textlink="">
          <xdr:nvSpPr>
            <xdr:cNvPr id="13313" name="Object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D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165100</xdr:colOff>
          <xdr:row>25</xdr:row>
          <xdr:rowOff>0</xdr:rowOff>
        </xdr:from>
        <xdr:to>
          <xdr:col>3</xdr:col>
          <xdr:colOff>444500</xdr:colOff>
          <xdr:row>25</xdr:row>
          <xdr:rowOff>0</xdr:rowOff>
        </xdr:to>
        <xdr:sp macro="" textlink="">
          <xdr:nvSpPr>
            <xdr:cNvPr id="13314" name="Object 2" hidden="1">
              <a:extLst>
                <a:ext uri="{63B3BB69-23CF-44E3-9099-C40C66FF867C}">
                  <a14:compatExt spid="_x0000_s13314"/>
                </a:ext>
                <a:ext uri="{FF2B5EF4-FFF2-40B4-BE49-F238E27FC236}">
                  <a16:creationId xmlns:a16="http://schemas.microsoft.com/office/drawing/2014/main" id="{00000000-0008-0000-0D00-00000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165100</xdr:colOff>
          <xdr:row>25</xdr:row>
          <xdr:rowOff>0</xdr:rowOff>
        </xdr:from>
        <xdr:to>
          <xdr:col>3</xdr:col>
          <xdr:colOff>444500</xdr:colOff>
          <xdr:row>25</xdr:row>
          <xdr:rowOff>0</xdr:rowOff>
        </xdr:to>
        <xdr:sp macro="" textlink="">
          <xdr:nvSpPr>
            <xdr:cNvPr id="13315" name="Object 3" hidden="1">
              <a:extLst>
                <a:ext uri="{63B3BB69-23CF-44E3-9099-C40C66FF867C}">
                  <a14:compatExt spid="_x0000_s13315"/>
                </a:ext>
                <a:ext uri="{FF2B5EF4-FFF2-40B4-BE49-F238E27FC236}">
                  <a16:creationId xmlns:a16="http://schemas.microsoft.com/office/drawing/2014/main" id="{00000000-0008-0000-0D00-000003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254000</xdr:colOff>
          <xdr:row>25</xdr:row>
          <xdr:rowOff>0</xdr:rowOff>
        </xdr:from>
        <xdr:to>
          <xdr:col>4</xdr:col>
          <xdr:colOff>2019300</xdr:colOff>
          <xdr:row>25</xdr:row>
          <xdr:rowOff>0</xdr:rowOff>
        </xdr:to>
        <xdr:sp macro="" textlink="">
          <xdr:nvSpPr>
            <xdr:cNvPr id="13316" name="Object 4" hidden="1">
              <a:extLst>
                <a:ext uri="{63B3BB69-23CF-44E3-9099-C40C66FF867C}">
                  <a14:compatExt spid="_x0000_s13316"/>
                </a:ext>
                <a:ext uri="{FF2B5EF4-FFF2-40B4-BE49-F238E27FC236}">
                  <a16:creationId xmlns:a16="http://schemas.microsoft.com/office/drawing/2014/main" id="{00000000-0008-0000-0D00-000004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165100</xdr:colOff>
          <xdr:row>25</xdr:row>
          <xdr:rowOff>0</xdr:rowOff>
        </xdr:from>
        <xdr:to>
          <xdr:col>3</xdr:col>
          <xdr:colOff>444500</xdr:colOff>
          <xdr:row>25</xdr:row>
          <xdr:rowOff>0</xdr:rowOff>
        </xdr:to>
        <xdr:sp macro="" textlink="">
          <xdr:nvSpPr>
            <xdr:cNvPr id="13317" name="Object 5" hidden="1">
              <a:extLst>
                <a:ext uri="{63B3BB69-23CF-44E3-9099-C40C66FF867C}">
                  <a14:compatExt spid="_x0000_s13317"/>
                </a:ext>
                <a:ext uri="{FF2B5EF4-FFF2-40B4-BE49-F238E27FC236}">
                  <a16:creationId xmlns:a16="http://schemas.microsoft.com/office/drawing/2014/main" id="{00000000-0008-0000-0D00-000005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165100</xdr:colOff>
          <xdr:row>25</xdr:row>
          <xdr:rowOff>0</xdr:rowOff>
        </xdr:from>
        <xdr:to>
          <xdr:col>3</xdr:col>
          <xdr:colOff>444500</xdr:colOff>
          <xdr:row>25</xdr:row>
          <xdr:rowOff>0</xdr:rowOff>
        </xdr:to>
        <xdr:sp macro="" textlink="">
          <xdr:nvSpPr>
            <xdr:cNvPr id="13318" name="Object 6" hidden="1">
              <a:extLst>
                <a:ext uri="{63B3BB69-23CF-44E3-9099-C40C66FF867C}">
                  <a14:compatExt spid="_x0000_s13318"/>
                </a:ext>
                <a:ext uri="{FF2B5EF4-FFF2-40B4-BE49-F238E27FC236}">
                  <a16:creationId xmlns:a16="http://schemas.microsoft.com/office/drawing/2014/main" id="{00000000-0008-0000-0D00-000006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165100</xdr:colOff>
          <xdr:row>25</xdr:row>
          <xdr:rowOff>0</xdr:rowOff>
        </xdr:from>
        <xdr:to>
          <xdr:col>3</xdr:col>
          <xdr:colOff>444500</xdr:colOff>
          <xdr:row>25</xdr:row>
          <xdr:rowOff>0</xdr:rowOff>
        </xdr:to>
        <xdr:sp macro="" textlink="">
          <xdr:nvSpPr>
            <xdr:cNvPr id="13319" name="Object 7" hidden="1">
              <a:extLst>
                <a:ext uri="{63B3BB69-23CF-44E3-9099-C40C66FF867C}">
                  <a14:compatExt spid="_x0000_s13319"/>
                </a:ext>
                <a:ext uri="{FF2B5EF4-FFF2-40B4-BE49-F238E27FC236}">
                  <a16:creationId xmlns:a16="http://schemas.microsoft.com/office/drawing/2014/main" id="{00000000-0008-0000-0D00-000007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254000</xdr:colOff>
          <xdr:row>25</xdr:row>
          <xdr:rowOff>0</xdr:rowOff>
        </xdr:from>
        <xdr:to>
          <xdr:col>4</xdr:col>
          <xdr:colOff>2019300</xdr:colOff>
          <xdr:row>25</xdr:row>
          <xdr:rowOff>0</xdr:rowOff>
        </xdr:to>
        <xdr:sp macro="" textlink="">
          <xdr:nvSpPr>
            <xdr:cNvPr id="13320" name="Object 8" hidden="1">
              <a:extLst>
                <a:ext uri="{63B3BB69-23CF-44E3-9099-C40C66FF867C}">
                  <a14:compatExt spid="_x0000_s13320"/>
                </a:ext>
                <a:ext uri="{FF2B5EF4-FFF2-40B4-BE49-F238E27FC236}">
                  <a16:creationId xmlns:a16="http://schemas.microsoft.com/office/drawing/2014/main" id="{00000000-0008-0000-0D00-000008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165100</xdr:colOff>
          <xdr:row>107</xdr:row>
          <xdr:rowOff>0</xdr:rowOff>
        </xdr:from>
        <xdr:to>
          <xdr:col>3</xdr:col>
          <xdr:colOff>444500</xdr:colOff>
          <xdr:row>107</xdr:row>
          <xdr:rowOff>0</xdr:rowOff>
        </xdr:to>
        <xdr:sp macro="" textlink="">
          <xdr:nvSpPr>
            <xdr:cNvPr id="13329" name="Object 17" hidden="1">
              <a:extLst>
                <a:ext uri="{63B3BB69-23CF-44E3-9099-C40C66FF867C}">
                  <a14:compatExt spid="_x0000_s13329"/>
                </a:ext>
                <a:ext uri="{FF2B5EF4-FFF2-40B4-BE49-F238E27FC236}">
                  <a16:creationId xmlns:a16="http://schemas.microsoft.com/office/drawing/2014/main" id="{00000000-0008-0000-0D00-00001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165100</xdr:colOff>
          <xdr:row>107</xdr:row>
          <xdr:rowOff>0</xdr:rowOff>
        </xdr:from>
        <xdr:to>
          <xdr:col>3</xdr:col>
          <xdr:colOff>444500</xdr:colOff>
          <xdr:row>107</xdr:row>
          <xdr:rowOff>0</xdr:rowOff>
        </xdr:to>
        <xdr:sp macro="" textlink="">
          <xdr:nvSpPr>
            <xdr:cNvPr id="13330" name="Object 18" hidden="1">
              <a:extLst>
                <a:ext uri="{63B3BB69-23CF-44E3-9099-C40C66FF867C}">
                  <a14:compatExt spid="_x0000_s13330"/>
                </a:ext>
                <a:ext uri="{FF2B5EF4-FFF2-40B4-BE49-F238E27FC236}">
                  <a16:creationId xmlns:a16="http://schemas.microsoft.com/office/drawing/2014/main" id="{00000000-0008-0000-0D00-00001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165100</xdr:colOff>
          <xdr:row>107</xdr:row>
          <xdr:rowOff>0</xdr:rowOff>
        </xdr:from>
        <xdr:to>
          <xdr:col>3</xdr:col>
          <xdr:colOff>444500</xdr:colOff>
          <xdr:row>107</xdr:row>
          <xdr:rowOff>0</xdr:rowOff>
        </xdr:to>
        <xdr:sp macro="" textlink="">
          <xdr:nvSpPr>
            <xdr:cNvPr id="13331" name="Object 19" hidden="1">
              <a:extLst>
                <a:ext uri="{63B3BB69-23CF-44E3-9099-C40C66FF867C}">
                  <a14:compatExt spid="_x0000_s13331"/>
                </a:ext>
                <a:ext uri="{FF2B5EF4-FFF2-40B4-BE49-F238E27FC236}">
                  <a16:creationId xmlns:a16="http://schemas.microsoft.com/office/drawing/2014/main" id="{00000000-0008-0000-0D00-000013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254000</xdr:colOff>
          <xdr:row>107</xdr:row>
          <xdr:rowOff>0</xdr:rowOff>
        </xdr:from>
        <xdr:to>
          <xdr:col>5</xdr:col>
          <xdr:colOff>0</xdr:colOff>
          <xdr:row>107</xdr:row>
          <xdr:rowOff>0</xdr:rowOff>
        </xdr:to>
        <xdr:sp macro="" textlink="">
          <xdr:nvSpPr>
            <xdr:cNvPr id="13332" name="Object 20" hidden="1">
              <a:extLst>
                <a:ext uri="{63B3BB69-23CF-44E3-9099-C40C66FF867C}">
                  <a14:compatExt spid="_x0000_s13332"/>
                </a:ext>
                <a:ext uri="{FF2B5EF4-FFF2-40B4-BE49-F238E27FC236}">
                  <a16:creationId xmlns:a16="http://schemas.microsoft.com/office/drawing/2014/main" id="{00000000-0008-0000-0D00-000014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171450</xdr:colOff>
      <xdr:row>105</xdr:row>
      <xdr:rowOff>0</xdr:rowOff>
    </xdr:from>
    <xdr:to>
      <xdr:col>3</xdr:col>
      <xdr:colOff>447675</xdr:colOff>
      <xdr:row>105</xdr:row>
      <xdr:rowOff>0</xdr:rowOff>
    </xdr:to>
    <xdr:pic>
      <xdr:nvPicPr>
        <xdr:cNvPr id="2" name="Objec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7486650"/>
          <a:ext cx="36861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171450</xdr:colOff>
      <xdr:row>105</xdr:row>
      <xdr:rowOff>0</xdr:rowOff>
    </xdr:from>
    <xdr:to>
      <xdr:col>3</xdr:col>
      <xdr:colOff>447675</xdr:colOff>
      <xdr:row>105</xdr:row>
      <xdr:rowOff>0</xdr:rowOff>
    </xdr:to>
    <xdr:pic>
      <xdr:nvPicPr>
        <xdr:cNvPr id="4" name="Object 2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7486650"/>
          <a:ext cx="36861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171450</xdr:colOff>
      <xdr:row>105</xdr:row>
      <xdr:rowOff>0</xdr:rowOff>
    </xdr:from>
    <xdr:to>
      <xdr:col>3</xdr:col>
      <xdr:colOff>447675</xdr:colOff>
      <xdr:row>105</xdr:row>
      <xdr:rowOff>0</xdr:rowOff>
    </xdr:to>
    <xdr:pic>
      <xdr:nvPicPr>
        <xdr:cNvPr id="5" name="Object 3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7486650"/>
          <a:ext cx="36861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165100</xdr:colOff>
          <xdr:row>25</xdr:row>
          <xdr:rowOff>0</xdr:rowOff>
        </xdr:from>
        <xdr:to>
          <xdr:col>3</xdr:col>
          <xdr:colOff>444500</xdr:colOff>
          <xdr:row>25</xdr:row>
          <xdr:rowOff>0</xdr:rowOff>
        </xdr:to>
        <xdr:sp macro="" textlink="">
          <xdr:nvSpPr>
            <xdr:cNvPr id="13333" name="Object 21" hidden="1">
              <a:extLst>
                <a:ext uri="{63B3BB69-23CF-44E3-9099-C40C66FF867C}">
                  <a14:compatExt spid="_x0000_s13333"/>
                </a:ext>
                <a:ext uri="{FF2B5EF4-FFF2-40B4-BE49-F238E27FC236}">
                  <a16:creationId xmlns:a16="http://schemas.microsoft.com/office/drawing/2014/main" id="{00000000-0008-0000-0D00-000015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165100</xdr:colOff>
          <xdr:row>25</xdr:row>
          <xdr:rowOff>0</xdr:rowOff>
        </xdr:from>
        <xdr:to>
          <xdr:col>3</xdr:col>
          <xdr:colOff>444500</xdr:colOff>
          <xdr:row>25</xdr:row>
          <xdr:rowOff>0</xdr:rowOff>
        </xdr:to>
        <xdr:sp macro="" textlink="">
          <xdr:nvSpPr>
            <xdr:cNvPr id="13334" name="Object 22" hidden="1">
              <a:extLst>
                <a:ext uri="{63B3BB69-23CF-44E3-9099-C40C66FF867C}">
                  <a14:compatExt spid="_x0000_s13334"/>
                </a:ext>
                <a:ext uri="{FF2B5EF4-FFF2-40B4-BE49-F238E27FC236}">
                  <a16:creationId xmlns:a16="http://schemas.microsoft.com/office/drawing/2014/main" id="{00000000-0008-0000-0D00-000016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165100</xdr:colOff>
          <xdr:row>25</xdr:row>
          <xdr:rowOff>0</xdr:rowOff>
        </xdr:from>
        <xdr:to>
          <xdr:col>3</xdr:col>
          <xdr:colOff>444500</xdr:colOff>
          <xdr:row>25</xdr:row>
          <xdr:rowOff>0</xdr:rowOff>
        </xdr:to>
        <xdr:sp macro="" textlink="">
          <xdr:nvSpPr>
            <xdr:cNvPr id="13335" name="Object 23" hidden="1">
              <a:extLst>
                <a:ext uri="{63B3BB69-23CF-44E3-9099-C40C66FF867C}">
                  <a14:compatExt spid="_x0000_s13335"/>
                </a:ext>
                <a:ext uri="{FF2B5EF4-FFF2-40B4-BE49-F238E27FC236}">
                  <a16:creationId xmlns:a16="http://schemas.microsoft.com/office/drawing/2014/main" id="{00000000-0008-0000-0D00-000017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254000</xdr:colOff>
          <xdr:row>25</xdr:row>
          <xdr:rowOff>0</xdr:rowOff>
        </xdr:from>
        <xdr:to>
          <xdr:col>4</xdr:col>
          <xdr:colOff>2019300</xdr:colOff>
          <xdr:row>25</xdr:row>
          <xdr:rowOff>0</xdr:rowOff>
        </xdr:to>
        <xdr:sp macro="" textlink="">
          <xdr:nvSpPr>
            <xdr:cNvPr id="13336" name="Object 24" hidden="1">
              <a:extLst>
                <a:ext uri="{63B3BB69-23CF-44E3-9099-C40C66FF867C}">
                  <a14:compatExt spid="_x0000_s13336"/>
                </a:ext>
                <a:ext uri="{FF2B5EF4-FFF2-40B4-BE49-F238E27FC236}">
                  <a16:creationId xmlns:a16="http://schemas.microsoft.com/office/drawing/2014/main" id="{00000000-0008-0000-0D00-000018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165100</xdr:colOff>
          <xdr:row>25</xdr:row>
          <xdr:rowOff>0</xdr:rowOff>
        </xdr:from>
        <xdr:to>
          <xdr:col>3</xdr:col>
          <xdr:colOff>444500</xdr:colOff>
          <xdr:row>25</xdr:row>
          <xdr:rowOff>0</xdr:rowOff>
        </xdr:to>
        <xdr:sp macro="" textlink="">
          <xdr:nvSpPr>
            <xdr:cNvPr id="13337" name="Object 25" hidden="1">
              <a:extLst>
                <a:ext uri="{63B3BB69-23CF-44E3-9099-C40C66FF867C}">
                  <a14:compatExt spid="_x0000_s13337"/>
                </a:ext>
                <a:ext uri="{FF2B5EF4-FFF2-40B4-BE49-F238E27FC236}">
                  <a16:creationId xmlns:a16="http://schemas.microsoft.com/office/drawing/2014/main" id="{00000000-0008-0000-0D00-000019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165100</xdr:colOff>
          <xdr:row>25</xdr:row>
          <xdr:rowOff>0</xdr:rowOff>
        </xdr:from>
        <xdr:to>
          <xdr:col>3</xdr:col>
          <xdr:colOff>444500</xdr:colOff>
          <xdr:row>25</xdr:row>
          <xdr:rowOff>0</xdr:rowOff>
        </xdr:to>
        <xdr:sp macro="" textlink="">
          <xdr:nvSpPr>
            <xdr:cNvPr id="13338" name="Object 26" hidden="1">
              <a:extLst>
                <a:ext uri="{63B3BB69-23CF-44E3-9099-C40C66FF867C}">
                  <a14:compatExt spid="_x0000_s13338"/>
                </a:ext>
                <a:ext uri="{FF2B5EF4-FFF2-40B4-BE49-F238E27FC236}">
                  <a16:creationId xmlns:a16="http://schemas.microsoft.com/office/drawing/2014/main" id="{00000000-0008-0000-0D00-00001A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165100</xdr:colOff>
          <xdr:row>25</xdr:row>
          <xdr:rowOff>0</xdr:rowOff>
        </xdr:from>
        <xdr:to>
          <xdr:col>3</xdr:col>
          <xdr:colOff>444500</xdr:colOff>
          <xdr:row>25</xdr:row>
          <xdr:rowOff>0</xdr:rowOff>
        </xdr:to>
        <xdr:sp macro="" textlink="">
          <xdr:nvSpPr>
            <xdr:cNvPr id="13339" name="Object 27" hidden="1">
              <a:extLst>
                <a:ext uri="{63B3BB69-23CF-44E3-9099-C40C66FF867C}">
                  <a14:compatExt spid="_x0000_s13339"/>
                </a:ext>
                <a:ext uri="{FF2B5EF4-FFF2-40B4-BE49-F238E27FC236}">
                  <a16:creationId xmlns:a16="http://schemas.microsoft.com/office/drawing/2014/main" id="{00000000-0008-0000-0D00-00001B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254000</xdr:colOff>
          <xdr:row>25</xdr:row>
          <xdr:rowOff>0</xdr:rowOff>
        </xdr:from>
        <xdr:to>
          <xdr:col>4</xdr:col>
          <xdr:colOff>2019300</xdr:colOff>
          <xdr:row>25</xdr:row>
          <xdr:rowOff>0</xdr:rowOff>
        </xdr:to>
        <xdr:sp macro="" textlink="">
          <xdr:nvSpPr>
            <xdr:cNvPr id="13340" name="Object 28" hidden="1">
              <a:extLst>
                <a:ext uri="{63B3BB69-23CF-44E3-9099-C40C66FF867C}">
                  <a14:compatExt spid="_x0000_s13340"/>
                </a:ext>
                <a:ext uri="{FF2B5EF4-FFF2-40B4-BE49-F238E27FC236}">
                  <a16:creationId xmlns:a16="http://schemas.microsoft.com/office/drawing/2014/main" id="{00000000-0008-0000-0D00-00001C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165100</xdr:colOff>
          <xdr:row>106</xdr:row>
          <xdr:rowOff>0</xdr:rowOff>
        </xdr:from>
        <xdr:to>
          <xdr:col>3</xdr:col>
          <xdr:colOff>444500</xdr:colOff>
          <xdr:row>106</xdr:row>
          <xdr:rowOff>0</xdr:rowOff>
        </xdr:to>
        <xdr:sp macro="" textlink="">
          <xdr:nvSpPr>
            <xdr:cNvPr id="13341" name="Object 29" hidden="1">
              <a:extLst>
                <a:ext uri="{63B3BB69-23CF-44E3-9099-C40C66FF867C}">
                  <a14:compatExt spid="_x0000_s13341"/>
                </a:ext>
                <a:ext uri="{FF2B5EF4-FFF2-40B4-BE49-F238E27FC236}">
                  <a16:creationId xmlns:a16="http://schemas.microsoft.com/office/drawing/2014/main" id="{00000000-0008-0000-0D00-00001D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165100</xdr:colOff>
          <xdr:row>106</xdr:row>
          <xdr:rowOff>0</xdr:rowOff>
        </xdr:from>
        <xdr:to>
          <xdr:col>3</xdr:col>
          <xdr:colOff>444500</xdr:colOff>
          <xdr:row>106</xdr:row>
          <xdr:rowOff>0</xdr:rowOff>
        </xdr:to>
        <xdr:sp macro="" textlink="">
          <xdr:nvSpPr>
            <xdr:cNvPr id="13342" name="Object 30" hidden="1">
              <a:extLst>
                <a:ext uri="{63B3BB69-23CF-44E3-9099-C40C66FF867C}">
                  <a14:compatExt spid="_x0000_s13342"/>
                </a:ext>
                <a:ext uri="{FF2B5EF4-FFF2-40B4-BE49-F238E27FC236}">
                  <a16:creationId xmlns:a16="http://schemas.microsoft.com/office/drawing/2014/main" id="{00000000-0008-0000-0D00-00001E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165100</xdr:colOff>
          <xdr:row>106</xdr:row>
          <xdr:rowOff>0</xdr:rowOff>
        </xdr:from>
        <xdr:to>
          <xdr:col>3</xdr:col>
          <xdr:colOff>444500</xdr:colOff>
          <xdr:row>106</xdr:row>
          <xdr:rowOff>0</xdr:rowOff>
        </xdr:to>
        <xdr:sp macro="" textlink="">
          <xdr:nvSpPr>
            <xdr:cNvPr id="13343" name="Object 31" hidden="1">
              <a:extLst>
                <a:ext uri="{63B3BB69-23CF-44E3-9099-C40C66FF867C}">
                  <a14:compatExt spid="_x0000_s13343"/>
                </a:ext>
                <a:ext uri="{FF2B5EF4-FFF2-40B4-BE49-F238E27FC236}">
                  <a16:creationId xmlns:a16="http://schemas.microsoft.com/office/drawing/2014/main" id="{00000000-0008-0000-0D00-00001F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254000</xdr:colOff>
          <xdr:row>106</xdr:row>
          <xdr:rowOff>0</xdr:rowOff>
        </xdr:from>
        <xdr:to>
          <xdr:col>5</xdr:col>
          <xdr:colOff>0</xdr:colOff>
          <xdr:row>106</xdr:row>
          <xdr:rowOff>0</xdr:rowOff>
        </xdr:to>
        <xdr:sp macro="" textlink="">
          <xdr:nvSpPr>
            <xdr:cNvPr id="13344" name="Object 32" hidden="1">
              <a:extLst>
                <a:ext uri="{63B3BB69-23CF-44E3-9099-C40C66FF867C}">
                  <a14:compatExt spid="_x0000_s13344"/>
                </a:ext>
                <a:ext uri="{FF2B5EF4-FFF2-40B4-BE49-F238E27FC236}">
                  <a16:creationId xmlns:a16="http://schemas.microsoft.com/office/drawing/2014/main" id="{00000000-0008-0000-0D00-000020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171450</xdr:colOff>
      <xdr:row>104</xdr:row>
      <xdr:rowOff>0</xdr:rowOff>
    </xdr:from>
    <xdr:to>
      <xdr:col>3</xdr:col>
      <xdr:colOff>447675</xdr:colOff>
      <xdr:row>104</xdr:row>
      <xdr:rowOff>0</xdr:rowOff>
    </xdr:to>
    <xdr:pic>
      <xdr:nvPicPr>
        <xdr:cNvPr id="6" name="Object 1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5505450"/>
          <a:ext cx="3438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171450</xdr:colOff>
      <xdr:row>104</xdr:row>
      <xdr:rowOff>0</xdr:rowOff>
    </xdr:from>
    <xdr:to>
      <xdr:col>3</xdr:col>
      <xdr:colOff>447675</xdr:colOff>
      <xdr:row>104</xdr:row>
      <xdr:rowOff>0</xdr:rowOff>
    </xdr:to>
    <xdr:pic>
      <xdr:nvPicPr>
        <xdr:cNvPr id="7" name="Object 2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5505450"/>
          <a:ext cx="3438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171450</xdr:colOff>
      <xdr:row>104</xdr:row>
      <xdr:rowOff>0</xdr:rowOff>
    </xdr:from>
    <xdr:to>
      <xdr:col>3</xdr:col>
      <xdr:colOff>447675</xdr:colOff>
      <xdr:row>104</xdr:row>
      <xdr:rowOff>0</xdr:rowOff>
    </xdr:to>
    <xdr:pic>
      <xdr:nvPicPr>
        <xdr:cNvPr id="8" name="Object 3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5505450"/>
          <a:ext cx="3438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257175</xdr:colOff>
      <xdr:row>104</xdr:row>
      <xdr:rowOff>0</xdr:rowOff>
    </xdr:from>
    <xdr:to>
      <xdr:col>4</xdr:col>
      <xdr:colOff>2019300</xdr:colOff>
      <xdr:row>104</xdr:row>
      <xdr:rowOff>0</xdr:rowOff>
    </xdr:to>
    <xdr:pic>
      <xdr:nvPicPr>
        <xdr:cNvPr id="9" name="Object 4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05100" y="5505450"/>
          <a:ext cx="3276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165100</xdr:colOff>
          <xdr:row>69</xdr:row>
          <xdr:rowOff>0</xdr:rowOff>
        </xdr:from>
        <xdr:to>
          <xdr:col>3</xdr:col>
          <xdr:colOff>444500</xdr:colOff>
          <xdr:row>69</xdr:row>
          <xdr:rowOff>0</xdr:rowOff>
        </xdr:to>
        <xdr:sp macro="" textlink="">
          <xdr:nvSpPr>
            <xdr:cNvPr id="13345" name="Object 33" hidden="1">
              <a:extLst>
                <a:ext uri="{63B3BB69-23CF-44E3-9099-C40C66FF867C}">
                  <a14:compatExt spid="_x0000_s13345"/>
                </a:ext>
                <a:ext uri="{FF2B5EF4-FFF2-40B4-BE49-F238E27FC236}">
                  <a16:creationId xmlns:a16="http://schemas.microsoft.com/office/drawing/2014/main" id="{00000000-0008-0000-0D00-00002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165100</xdr:colOff>
          <xdr:row>69</xdr:row>
          <xdr:rowOff>0</xdr:rowOff>
        </xdr:from>
        <xdr:to>
          <xdr:col>3</xdr:col>
          <xdr:colOff>444500</xdr:colOff>
          <xdr:row>69</xdr:row>
          <xdr:rowOff>0</xdr:rowOff>
        </xdr:to>
        <xdr:sp macro="" textlink="">
          <xdr:nvSpPr>
            <xdr:cNvPr id="13346" name="Object 34" hidden="1">
              <a:extLst>
                <a:ext uri="{63B3BB69-23CF-44E3-9099-C40C66FF867C}">
                  <a14:compatExt spid="_x0000_s13346"/>
                </a:ext>
                <a:ext uri="{FF2B5EF4-FFF2-40B4-BE49-F238E27FC236}">
                  <a16:creationId xmlns:a16="http://schemas.microsoft.com/office/drawing/2014/main" id="{00000000-0008-0000-0D00-00002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165100</xdr:colOff>
          <xdr:row>69</xdr:row>
          <xdr:rowOff>0</xdr:rowOff>
        </xdr:from>
        <xdr:to>
          <xdr:col>3</xdr:col>
          <xdr:colOff>444500</xdr:colOff>
          <xdr:row>69</xdr:row>
          <xdr:rowOff>0</xdr:rowOff>
        </xdr:to>
        <xdr:sp macro="" textlink="">
          <xdr:nvSpPr>
            <xdr:cNvPr id="13347" name="Object 35" hidden="1">
              <a:extLst>
                <a:ext uri="{63B3BB69-23CF-44E3-9099-C40C66FF867C}">
                  <a14:compatExt spid="_x0000_s13347"/>
                </a:ext>
                <a:ext uri="{FF2B5EF4-FFF2-40B4-BE49-F238E27FC236}">
                  <a16:creationId xmlns:a16="http://schemas.microsoft.com/office/drawing/2014/main" id="{00000000-0008-0000-0D00-000023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254000</xdr:colOff>
          <xdr:row>69</xdr:row>
          <xdr:rowOff>0</xdr:rowOff>
        </xdr:from>
        <xdr:to>
          <xdr:col>4</xdr:col>
          <xdr:colOff>2019300</xdr:colOff>
          <xdr:row>69</xdr:row>
          <xdr:rowOff>0</xdr:rowOff>
        </xdr:to>
        <xdr:sp macro="" textlink="">
          <xdr:nvSpPr>
            <xdr:cNvPr id="13348" name="Object 36" hidden="1">
              <a:extLst>
                <a:ext uri="{63B3BB69-23CF-44E3-9099-C40C66FF867C}">
                  <a14:compatExt spid="_x0000_s13348"/>
                </a:ext>
                <a:ext uri="{FF2B5EF4-FFF2-40B4-BE49-F238E27FC236}">
                  <a16:creationId xmlns:a16="http://schemas.microsoft.com/office/drawing/2014/main" id="{00000000-0008-0000-0D00-000024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165100</xdr:colOff>
          <xdr:row>69</xdr:row>
          <xdr:rowOff>0</xdr:rowOff>
        </xdr:from>
        <xdr:to>
          <xdr:col>3</xdr:col>
          <xdr:colOff>444500</xdr:colOff>
          <xdr:row>69</xdr:row>
          <xdr:rowOff>0</xdr:rowOff>
        </xdr:to>
        <xdr:sp macro="" textlink="">
          <xdr:nvSpPr>
            <xdr:cNvPr id="13349" name="Object 37" hidden="1">
              <a:extLst>
                <a:ext uri="{63B3BB69-23CF-44E3-9099-C40C66FF867C}">
                  <a14:compatExt spid="_x0000_s13349"/>
                </a:ext>
                <a:ext uri="{FF2B5EF4-FFF2-40B4-BE49-F238E27FC236}">
                  <a16:creationId xmlns:a16="http://schemas.microsoft.com/office/drawing/2014/main" id="{00000000-0008-0000-0D00-000025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165100</xdr:colOff>
          <xdr:row>69</xdr:row>
          <xdr:rowOff>0</xdr:rowOff>
        </xdr:from>
        <xdr:to>
          <xdr:col>3</xdr:col>
          <xdr:colOff>444500</xdr:colOff>
          <xdr:row>69</xdr:row>
          <xdr:rowOff>0</xdr:rowOff>
        </xdr:to>
        <xdr:sp macro="" textlink="">
          <xdr:nvSpPr>
            <xdr:cNvPr id="13350" name="Object 38" hidden="1">
              <a:extLst>
                <a:ext uri="{63B3BB69-23CF-44E3-9099-C40C66FF867C}">
                  <a14:compatExt spid="_x0000_s13350"/>
                </a:ext>
                <a:ext uri="{FF2B5EF4-FFF2-40B4-BE49-F238E27FC236}">
                  <a16:creationId xmlns:a16="http://schemas.microsoft.com/office/drawing/2014/main" id="{00000000-0008-0000-0D00-000026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165100</xdr:colOff>
          <xdr:row>69</xdr:row>
          <xdr:rowOff>0</xdr:rowOff>
        </xdr:from>
        <xdr:to>
          <xdr:col>3</xdr:col>
          <xdr:colOff>444500</xdr:colOff>
          <xdr:row>69</xdr:row>
          <xdr:rowOff>0</xdr:rowOff>
        </xdr:to>
        <xdr:sp macro="" textlink="">
          <xdr:nvSpPr>
            <xdr:cNvPr id="13351" name="Object 39" hidden="1">
              <a:extLst>
                <a:ext uri="{63B3BB69-23CF-44E3-9099-C40C66FF867C}">
                  <a14:compatExt spid="_x0000_s13351"/>
                </a:ext>
                <a:ext uri="{FF2B5EF4-FFF2-40B4-BE49-F238E27FC236}">
                  <a16:creationId xmlns:a16="http://schemas.microsoft.com/office/drawing/2014/main" id="{00000000-0008-0000-0D00-000027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254000</xdr:colOff>
          <xdr:row>69</xdr:row>
          <xdr:rowOff>0</xdr:rowOff>
        </xdr:from>
        <xdr:to>
          <xdr:col>4</xdr:col>
          <xdr:colOff>2019300</xdr:colOff>
          <xdr:row>69</xdr:row>
          <xdr:rowOff>0</xdr:rowOff>
        </xdr:to>
        <xdr:sp macro="" textlink="">
          <xdr:nvSpPr>
            <xdr:cNvPr id="13352" name="Object 40" hidden="1">
              <a:extLst>
                <a:ext uri="{63B3BB69-23CF-44E3-9099-C40C66FF867C}">
                  <a14:compatExt spid="_x0000_s13352"/>
                </a:ext>
                <a:ext uri="{FF2B5EF4-FFF2-40B4-BE49-F238E27FC236}">
                  <a16:creationId xmlns:a16="http://schemas.microsoft.com/office/drawing/2014/main" id="{00000000-0008-0000-0D00-000028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127000</xdr:rowOff>
    </xdr:from>
    <xdr:to>
      <xdr:col>1</xdr:col>
      <xdr:colOff>800100</xdr:colOff>
      <xdr:row>6</xdr:row>
      <xdr:rowOff>155048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7000"/>
          <a:ext cx="1397000" cy="101864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/.shortcut-targets-by-id/1LJlXJP4d0IOb5OHNLTEy1xow0eSqgqDn/5.%20RBHS%20La%20Calera(Simon%20R)/Obra/2%20Administrador/13%20CF/2%20Real/CF.%20Ba&#241;os%20Sodimac.xlsx" TargetMode="External"/><Relationship Id="rId1" Type="http://schemas.openxmlformats.org/officeDocument/2006/relationships/externalLinkPath" Target="file:///H:/.shortcut-targets-by-id/1LJlXJP4d0IOb5OHNLTEy1xow0eSqgqDn/5.%20RBHS%20La%20Calera(Simon%20R)/Obra/2%20Administrador/13%20CF/2%20Real/CF.%20Ba&#241;os%20Sodima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ITEMIZADO"/>
      <sheetName val="APU"/>
      <sheetName val="GG"/>
    </sheetNames>
    <sheetDataSet>
      <sheetData sheetId="0"/>
      <sheetData sheetId="1"/>
      <sheetData sheetId="2">
        <row r="9">
          <cell r="G9">
            <v>11301628.332554083</v>
          </cell>
        </row>
      </sheetData>
    </sheetDataSet>
  </externalBook>
</externalLink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12700" cap="flat">
          <a:noFill/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hyperlink" Target="file:///C:/Users/Constructora%20MM/AppData/Local/Microsoft/Windows/INetCache/COMPRAS/MM%20construccion/Ordenes%20de%20compra/OC%202019/Centros%20de%20Costos%202019/Alvi%20El%20Bosque/OC%20537%20YOLITO%20BALART%20HERMANOS%20LIMITADA/OC%20537%202019.xlsx" TargetMode="External"/><Relationship Id="rId1" Type="http://schemas.openxmlformats.org/officeDocument/2006/relationships/hyperlink" Target="file:///C:/Users/Constructora%20MM/AppData/Local/Microsoft/Windows/INetCache/COMPRAS/MM%20construccion/Ordenes%20de%20compra/OC%202019/Centros%20de%20Costos%202019/Alvi%20El%20Bosque/OC%20537%20YOLITO%20BALART%20HERMANOS%20LIMITADA/OC%20537%202019.xlsx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3" Type="http://schemas.openxmlformats.org/officeDocument/2006/relationships/oleObject" Target="../embeddings/oleObject10.bin"/><Relationship Id="rId18" Type="http://schemas.openxmlformats.org/officeDocument/2006/relationships/oleObject" Target="../embeddings/oleObject15.bin"/><Relationship Id="rId26" Type="http://schemas.openxmlformats.org/officeDocument/2006/relationships/oleObject" Target="../embeddings/oleObject23.bin"/><Relationship Id="rId3" Type="http://schemas.openxmlformats.org/officeDocument/2006/relationships/oleObject" Target="../embeddings/oleObject1.bin"/><Relationship Id="rId21" Type="http://schemas.openxmlformats.org/officeDocument/2006/relationships/oleObject" Target="../embeddings/oleObject18.bin"/><Relationship Id="rId34" Type="http://schemas.openxmlformats.org/officeDocument/2006/relationships/oleObject" Target="../embeddings/oleObject31.bin"/><Relationship Id="rId7" Type="http://schemas.openxmlformats.org/officeDocument/2006/relationships/oleObject" Target="../embeddings/oleObject4.bin"/><Relationship Id="rId12" Type="http://schemas.openxmlformats.org/officeDocument/2006/relationships/oleObject" Target="../embeddings/oleObject9.bin"/><Relationship Id="rId17" Type="http://schemas.openxmlformats.org/officeDocument/2006/relationships/oleObject" Target="../embeddings/oleObject14.bin"/><Relationship Id="rId25" Type="http://schemas.openxmlformats.org/officeDocument/2006/relationships/oleObject" Target="../embeddings/oleObject22.bin"/><Relationship Id="rId33" Type="http://schemas.openxmlformats.org/officeDocument/2006/relationships/oleObject" Target="../embeddings/oleObject30.bin"/><Relationship Id="rId2" Type="http://schemas.openxmlformats.org/officeDocument/2006/relationships/vmlDrawing" Target="../drawings/vmlDrawing1.vml"/><Relationship Id="rId16" Type="http://schemas.openxmlformats.org/officeDocument/2006/relationships/oleObject" Target="../embeddings/oleObject13.bin"/><Relationship Id="rId20" Type="http://schemas.openxmlformats.org/officeDocument/2006/relationships/oleObject" Target="../embeddings/oleObject17.bin"/><Relationship Id="rId29" Type="http://schemas.openxmlformats.org/officeDocument/2006/relationships/oleObject" Target="../embeddings/oleObject26.bin"/><Relationship Id="rId1" Type="http://schemas.openxmlformats.org/officeDocument/2006/relationships/drawing" Target="../drawings/drawing14.xml"/><Relationship Id="rId6" Type="http://schemas.openxmlformats.org/officeDocument/2006/relationships/oleObject" Target="../embeddings/oleObject3.bin"/><Relationship Id="rId11" Type="http://schemas.openxmlformats.org/officeDocument/2006/relationships/oleObject" Target="../embeddings/oleObject8.bin"/><Relationship Id="rId24" Type="http://schemas.openxmlformats.org/officeDocument/2006/relationships/oleObject" Target="../embeddings/oleObject21.bin"/><Relationship Id="rId32" Type="http://schemas.openxmlformats.org/officeDocument/2006/relationships/oleObject" Target="../embeddings/oleObject29.bin"/><Relationship Id="rId5" Type="http://schemas.openxmlformats.org/officeDocument/2006/relationships/oleObject" Target="../embeddings/oleObject2.bin"/><Relationship Id="rId15" Type="http://schemas.openxmlformats.org/officeDocument/2006/relationships/oleObject" Target="../embeddings/oleObject12.bin"/><Relationship Id="rId23" Type="http://schemas.openxmlformats.org/officeDocument/2006/relationships/oleObject" Target="../embeddings/oleObject20.bin"/><Relationship Id="rId28" Type="http://schemas.openxmlformats.org/officeDocument/2006/relationships/oleObject" Target="../embeddings/oleObject25.bin"/><Relationship Id="rId10" Type="http://schemas.openxmlformats.org/officeDocument/2006/relationships/oleObject" Target="../embeddings/oleObject7.bin"/><Relationship Id="rId19" Type="http://schemas.openxmlformats.org/officeDocument/2006/relationships/oleObject" Target="../embeddings/oleObject16.bin"/><Relationship Id="rId31" Type="http://schemas.openxmlformats.org/officeDocument/2006/relationships/oleObject" Target="../embeddings/oleObject28.bin"/><Relationship Id="rId4" Type="http://schemas.openxmlformats.org/officeDocument/2006/relationships/image" Target="../media/image6.emf"/><Relationship Id="rId9" Type="http://schemas.openxmlformats.org/officeDocument/2006/relationships/oleObject" Target="../embeddings/oleObject6.bin"/><Relationship Id="rId14" Type="http://schemas.openxmlformats.org/officeDocument/2006/relationships/oleObject" Target="../embeddings/oleObject11.bin"/><Relationship Id="rId22" Type="http://schemas.openxmlformats.org/officeDocument/2006/relationships/oleObject" Target="../embeddings/oleObject19.bin"/><Relationship Id="rId27" Type="http://schemas.openxmlformats.org/officeDocument/2006/relationships/oleObject" Target="../embeddings/oleObject24.bin"/><Relationship Id="rId30" Type="http://schemas.openxmlformats.org/officeDocument/2006/relationships/oleObject" Target="../embeddings/oleObject27.bin"/><Relationship Id="rId35" Type="http://schemas.openxmlformats.org/officeDocument/2006/relationships/oleObject" Target="../embeddings/oleObject32.bin"/><Relationship Id="rId8" Type="http://schemas.openxmlformats.org/officeDocument/2006/relationships/oleObject" Target="../embeddings/oleObject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  <pageSetUpPr fitToPage="1"/>
  </sheetPr>
  <dimension ref="A1:IW44"/>
  <sheetViews>
    <sheetView showGridLines="0" tabSelected="1" topLeftCell="A9" zoomScale="70" zoomScaleNormal="70" workbookViewId="0">
      <selection activeCell="Q32" sqref="Q32"/>
    </sheetView>
  </sheetViews>
  <sheetFormatPr baseColWidth="10" defaultColWidth="10.83203125" defaultRowHeight="14" customHeight="1"/>
  <cols>
    <col min="1" max="1" width="5.6640625" style="1" customWidth="1"/>
    <col min="2" max="2" width="4.1640625" style="1" customWidth="1"/>
    <col min="3" max="3" width="39.5" style="1" customWidth="1"/>
    <col min="4" max="4" width="12.5" style="1" bestFit="1" customWidth="1"/>
    <col min="5" max="5" width="30.83203125" style="1" customWidth="1"/>
    <col min="6" max="6" width="2.6640625" style="1" customWidth="1"/>
    <col min="7" max="7" width="30.83203125" style="1" customWidth="1"/>
    <col min="8" max="8" width="2.6640625" style="1" customWidth="1"/>
    <col min="9" max="9" width="30.83203125" style="1" customWidth="1"/>
    <col min="10" max="10" width="2.6640625" style="1" customWidth="1"/>
    <col min="11" max="11" width="31" style="1" bestFit="1" customWidth="1"/>
    <col min="12" max="12" width="2.6640625" style="1" customWidth="1"/>
    <col min="13" max="13" width="28.83203125" style="1" customWidth="1"/>
    <col min="14" max="14" width="2.6640625" style="1" customWidth="1"/>
    <col min="15" max="15" width="31.6640625" style="1" bestFit="1" customWidth="1"/>
    <col min="16" max="16" width="5.83203125" style="1" customWidth="1"/>
    <col min="17" max="17" width="25.83203125" style="1" customWidth="1"/>
    <col min="18" max="18" width="5.83203125" style="1" customWidth="1"/>
    <col min="19" max="257" width="10.83203125" style="1" customWidth="1"/>
  </cols>
  <sheetData>
    <row r="1" spans="1:22" ht="30" customHeight="1">
      <c r="A1" s="663"/>
      <c r="B1" s="663"/>
      <c r="C1" s="663"/>
      <c r="D1" s="163"/>
      <c r="E1" s="164"/>
      <c r="F1" s="163"/>
      <c r="G1" s="164"/>
      <c r="H1" s="163"/>
      <c r="I1" s="164"/>
      <c r="J1" s="163"/>
      <c r="K1" s="164"/>
      <c r="L1" s="167"/>
      <c r="M1" s="164"/>
      <c r="N1" s="163"/>
      <c r="O1" s="164"/>
      <c r="Q1" s="656" t="s">
        <v>86</v>
      </c>
    </row>
    <row r="2" spans="1:22" ht="30" customHeight="1">
      <c r="A2" s="664"/>
      <c r="B2" s="664"/>
      <c r="C2" s="664"/>
      <c r="D2" s="163"/>
      <c r="E2" s="168" t="s">
        <v>103</v>
      </c>
      <c r="F2" s="169"/>
      <c r="G2" s="170">
        <v>45875</v>
      </c>
      <c r="H2" s="166"/>
      <c r="I2" s="168" t="s">
        <v>104</v>
      </c>
      <c r="J2" s="166"/>
      <c r="K2" s="170">
        <f>G2+45</f>
        <v>45920</v>
      </c>
      <c r="L2" s="166"/>
      <c r="M2" s="168" t="s">
        <v>105</v>
      </c>
      <c r="N2" s="166"/>
      <c r="O2" s="171">
        <f>(K2-G2)/30</f>
        <v>1.5</v>
      </c>
      <c r="Q2" s="657"/>
    </row>
    <row r="3" spans="1:22" ht="30" customHeight="1">
      <c r="A3" s="664"/>
      <c r="B3" s="664"/>
      <c r="C3" s="664"/>
      <c r="D3" s="163"/>
      <c r="E3" s="172" t="s">
        <v>106</v>
      </c>
      <c r="F3" s="169"/>
      <c r="G3" s="173">
        <v>45915</v>
      </c>
      <c r="H3" s="174"/>
      <c r="I3" s="113"/>
      <c r="J3" s="163"/>
      <c r="K3" s="113"/>
      <c r="L3" s="175"/>
      <c r="M3" s="113"/>
      <c r="N3" s="163"/>
      <c r="O3" s="113"/>
      <c r="Q3" s="657"/>
    </row>
    <row r="4" spans="1:22" ht="30" customHeight="1">
      <c r="A4" s="664"/>
      <c r="B4" s="664"/>
      <c r="C4" s="664"/>
      <c r="D4" s="163"/>
      <c r="E4" s="172" t="s">
        <v>107</v>
      </c>
      <c r="F4" s="169"/>
      <c r="G4" s="176">
        <v>2</v>
      </c>
      <c r="H4" s="174"/>
      <c r="I4" s="164"/>
      <c r="J4" s="163"/>
      <c r="K4" s="164"/>
      <c r="L4" s="175"/>
      <c r="M4" s="164"/>
      <c r="N4" s="163"/>
      <c r="O4" s="164"/>
      <c r="Q4" s="657"/>
    </row>
    <row r="5" spans="1:22" ht="30" customHeight="1">
      <c r="A5" s="664"/>
      <c r="B5" s="664"/>
      <c r="C5" s="664"/>
      <c r="D5" s="163"/>
      <c r="E5" s="177" t="s">
        <v>108</v>
      </c>
      <c r="F5" s="169"/>
      <c r="G5" s="637">
        <v>45940</v>
      </c>
      <c r="H5" s="174"/>
      <c r="I5" s="164"/>
      <c r="J5" s="163"/>
      <c r="K5" s="164"/>
      <c r="L5" s="175"/>
      <c r="M5" s="164"/>
      <c r="N5" s="163"/>
      <c r="O5" s="164"/>
      <c r="Q5" s="657"/>
    </row>
    <row r="6" spans="1:22" ht="18" customHeight="1">
      <c r="A6" s="664"/>
      <c r="B6" s="664"/>
      <c r="C6" s="664"/>
      <c r="D6" s="163"/>
      <c r="E6" s="164"/>
      <c r="F6" s="163"/>
      <c r="G6" s="164"/>
      <c r="H6" s="165"/>
      <c r="I6" s="164"/>
      <c r="J6" s="163"/>
      <c r="K6" s="164"/>
      <c r="L6" s="167"/>
      <c r="M6" s="164"/>
      <c r="N6" s="163"/>
      <c r="O6" s="164"/>
      <c r="Q6" s="657"/>
    </row>
    <row r="7" spans="1:22" ht="18" customHeight="1">
      <c r="A7" s="663"/>
      <c r="B7" s="663"/>
      <c r="C7" s="663"/>
      <c r="D7" s="2"/>
      <c r="E7" s="3"/>
      <c r="F7" s="2"/>
      <c r="G7" s="3"/>
      <c r="H7" s="129"/>
      <c r="I7" s="164"/>
      <c r="J7" s="163"/>
      <c r="K7" s="164"/>
      <c r="L7" s="130"/>
      <c r="M7" s="3"/>
      <c r="N7" s="2"/>
      <c r="O7" s="3"/>
      <c r="Q7" s="657"/>
    </row>
    <row r="8" spans="1:22" ht="18" customHeight="1">
      <c r="A8" s="663"/>
      <c r="B8" s="663"/>
      <c r="C8" s="663"/>
      <c r="D8" s="2"/>
      <c r="E8" s="25"/>
      <c r="F8" s="26"/>
      <c r="G8" s="25"/>
      <c r="H8" s="26"/>
      <c r="I8" s="91"/>
      <c r="J8" s="26"/>
      <c r="K8" s="113"/>
      <c r="L8" s="26"/>
      <c r="M8" s="3"/>
      <c r="N8" s="2"/>
      <c r="O8" s="3"/>
      <c r="Q8" s="657"/>
    </row>
    <row r="9" spans="1:22" ht="25" customHeight="1">
      <c r="A9" s="663"/>
      <c r="B9" s="663"/>
      <c r="C9" s="663"/>
      <c r="D9" s="24"/>
      <c r="E9" s="124" t="s">
        <v>29</v>
      </c>
      <c r="F9" s="666" t="s">
        <v>141</v>
      </c>
      <c r="G9" s="666"/>
      <c r="H9" s="666"/>
      <c r="I9" s="666"/>
      <c r="J9" s="95"/>
      <c r="K9" s="3"/>
      <c r="L9" s="95"/>
      <c r="M9" s="3"/>
      <c r="N9" s="2"/>
      <c r="O9" s="3"/>
      <c r="Q9" s="657"/>
    </row>
    <row r="10" spans="1:22" ht="16" customHeight="1">
      <c r="A10" s="663"/>
      <c r="B10" s="663"/>
      <c r="C10" s="663"/>
      <c r="D10" s="2"/>
      <c r="E10" s="91"/>
      <c r="F10" s="92"/>
      <c r="G10" s="91"/>
      <c r="H10" s="92"/>
      <c r="I10" s="91"/>
      <c r="J10" s="93"/>
      <c r="K10" s="114"/>
      <c r="L10" s="92"/>
      <c r="M10" s="114"/>
      <c r="N10" s="115"/>
      <c r="O10" s="114"/>
      <c r="Q10" s="658"/>
    </row>
    <row r="11" spans="1:22" ht="25" customHeight="1">
      <c r="A11" s="663"/>
      <c r="B11" s="663"/>
      <c r="C11" s="663"/>
      <c r="D11" s="24"/>
      <c r="E11" s="660" t="s">
        <v>30</v>
      </c>
      <c r="F11" s="660"/>
      <c r="G11" s="660"/>
      <c r="H11" s="660"/>
      <c r="I11" s="660"/>
      <c r="J11" s="27"/>
      <c r="K11" s="659" t="s">
        <v>28</v>
      </c>
      <c r="L11" s="659"/>
      <c r="M11" s="659"/>
      <c r="N11" s="659"/>
      <c r="O11" s="659"/>
      <c r="Q11" s="131" t="s">
        <v>87</v>
      </c>
    </row>
    <row r="12" spans="1:22" ht="52" customHeight="1">
      <c r="A12" s="665"/>
      <c r="B12" s="665"/>
      <c r="C12" s="665"/>
      <c r="D12" s="4"/>
      <c r="E12" s="96" t="s">
        <v>0</v>
      </c>
      <c r="F12" s="97"/>
      <c r="G12" s="96" t="s">
        <v>26</v>
      </c>
      <c r="H12" s="97"/>
      <c r="I12" s="96" t="s">
        <v>27</v>
      </c>
      <c r="J12" s="98"/>
      <c r="K12" s="116" t="s">
        <v>1</v>
      </c>
      <c r="L12" s="117"/>
      <c r="M12" s="118" t="s">
        <v>78</v>
      </c>
      <c r="N12" s="111"/>
      <c r="O12" s="116" t="s">
        <v>77</v>
      </c>
      <c r="Q12" s="132" t="s">
        <v>88</v>
      </c>
    </row>
    <row r="13" spans="1:22" ht="25" customHeight="1">
      <c r="A13" s="125" t="s">
        <v>2</v>
      </c>
      <c r="B13" s="661" t="s">
        <v>3</v>
      </c>
      <c r="C13" s="662"/>
      <c r="D13" s="126" t="s">
        <v>85</v>
      </c>
      <c r="E13" s="127" t="s">
        <v>4</v>
      </c>
      <c r="F13" s="5"/>
      <c r="G13" s="127" t="s">
        <v>4</v>
      </c>
      <c r="H13" s="5"/>
      <c r="I13" s="6" t="s">
        <v>4</v>
      </c>
      <c r="J13" s="5"/>
      <c r="K13" s="23" t="s">
        <v>4</v>
      </c>
      <c r="L13" s="110"/>
      <c r="M13" s="23" t="s">
        <v>4</v>
      </c>
      <c r="N13" s="112"/>
      <c r="O13" s="23" t="s">
        <v>4</v>
      </c>
      <c r="Q13" s="200" t="s">
        <v>443</v>
      </c>
    </row>
    <row r="14" spans="1:22" ht="25" customHeight="1">
      <c r="A14" s="7">
        <v>1</v>
      </c>
      <c r="B14" s="648" t="s">
        <v>24</v>
      </c>
      <c r="C14" s="649"/>
      <c r="D14" s="8"/>
      <c r="E14" s="260">
        <f>Itemizado!G97</f>
        <v>64723319.683446027</v>
      </c>
      <c r="F14" s="261"/>
      <c r="G14" s="422"/>
      <c r="H14" s="261"/>
      <c r="I14" s="262">
        <f t="shared" ref="I14:I28" si="0">E14-G14</f>
        <v>64723319.683446027</v>
      </c>
      <c r="J14" s="261"/>
      <c r="K14" s="262"/>
      <c r="L14" s="263"/>
      <c r="M14" s="264">
        <f>G14-K14</f>
        <v>0</v>
      </c>
      <c r="N14" s="265"/>
      <c r="O14" s="262">
        <f>E14-K14</f>
        <v>64723319.683446027</v>
      </c>
      <c r="P14" s="266"/>
      <c r="Q14" s="267"/>
      <c r="R14" s="266"/>
      <c r="S14" s="266"/>
      <c r="T14" s="266"/>
      <c r="U14" s="266"/>
      <c r="V14" s="266"/>
    </row>
    <row r="15" spans="1:22" ht="25" customHeight="1">
      <c r="A15" s="7">
        <v>2</v>
      </c>
      <c r="B15" s="652" t="s">
        <v>23</v>
      </c>
      <c r="C15" s="653"/>
      <c r="D15" s="8"/>
      <c r="E15" s="273">
        <f>+Adicionales!M26</f>
        <v>7155619.5870000003</v>
      </c>
      <c r="F15" s="261"/>
      <c r="G15" s="422"/>
      <c r="H15" s="261"/>
      <c r="I15" s="262">
        <f t="shared" si="0"/>
        <v>7155619.5870000003</v>
      </c>
      <c r="J15" s="261"/>
      <c r="K15" s="262">
        <v>0</v>
      </c>
      <c r="L15" s="263"/>
      <c r="M15" s="264">
        <f>G15-K15</f>
        <v>0</v>
      </c>
      <c r="N15" s="265"/>
      <c r="O15" s="262">
        <f t="shared" ref="O15:O35" si="1">E15-K15</f>
        <v>7155619.5870000003</v>
      </c>
      <c r="P15" s="266"/>
      <c r="Q15" s="268"/>
      <c r="R15" s="266"/>
      <c r="S15" s="266"/>
      <c r="T15" s="266"/>
      <c r="U15" s="266"/>
      <c r="V15" s="266"/>
    </row>
    <row r="16" spans="1:22" ht="25" customHeight="1">
      <c r="A16" s="7">
        <v>3</v>
      </c>
      <c r="B16" s="648"/>
      <c r="C16" s="649"/>
      <c r="D16" s="186"/>
      <c r="E16" s="269"/>
      <c r="F16" s="270"/>
      <c r="G16" s="423"/>
      <c r="H16" s="270"/>
      <c r="I16" s="262">
        <f t="shared" si="0"/>
        <v>0</v>
      </c>
      <c r="J16" s="270"/>
      <c r="K16" s="271">
        <v>0</v>
      </c>
      <c r="L16" s="272"/>
      <c r="M16" s="264">
        <f t="shared" ref="M16" si="2">G16-K16</f>
        <v>0</v>
      </c>
      <c r="N16" s="265"/>
      <c r="O16" s="262">
        <f t="shared" ref="O16" si="3">E16-K16</f>
        <v>0</v>
      </c>
      <c r="P16" s="266"/>
      <c r="Q16" s="267"/>
      <c r="R16" s="266"/>
      <c r="S16" s="266"/>
      <c r="T16" s="266"/>
      <c r="U16" s="266"/>
      <c r="V16" s="266"/>
    </row>
    <row r="17" spans="1:257" ht="25" customHeight="1">
      <c r="A17" s="7">
        <v>4</v>
      </c>
      <c r="B17" s="648" t="s">
        <v>12</v>
      </c>
      <c r="C17" s="649"/>
      <c r="D17" s="8"/>
      <c r="E17" s="260"/>
      <c r="F17" s="261"/>
      <c r="G17" s="422">
        <f>Remuneraciones!E7</f>
        <v>28214258.616666667</v>
      </c>
      <c r="H17" s="261"/>
      <c r="I17" s="262">
        <f t="shared" si="0"/>
        <v>-28214258.616666667</v>
      </c>
      <c r="J17" s="261"/>
      <c r="K17" s="262">
        <f>+Remuneraciones!E8</f>
        <v>32125858.616666667</v>
      </c>
      <c r="L17" s="263"/>
      <c r="M17" s="264">
        <f t="shared" ref="M17:M27" si="4">G17-K17</f>
        <v>-3911600</v>
      </c>
      <c r="N17" s="265"/>
      <c r="O17" s="262">
        <f t="shared" si="1"/>
        <v>-32125858.616666667</v>
      </c>
      <c r="P17" s="266"/>
      <c r="Q17" s="425">
        <v>32500000</v>
      </c>
      <c r="R17" s="266"/>
      <c r="S17" s="266"/>
      <c r="T17" s="266"/>
      <c r="U17" s="266"/>
      <c r="V17" s="266"/>
    </row>
    <row r="18" spans="1:257" ht="25" customHeight="1">
      <c r="A18" s="7">
        <v>5</v>
      </c>
      <c r="B18" s="648" t="s">
        <v>13</v>
      </c>
      <c r="C18" s="649" t="s">
        <v>13</v>
      </c>
      <c r="D18" s="8"/>
      <c r="E18" s="260"/>
      <c r="F18" s="261"/>
      <c r="G18" s="422">
        <f>Subcontratos!F40</f>
        <v>15849547.0174703</v>
      </c>
      <c r="H18" s="261"/>
      <c r="I18" s="262">
        <f t="shared" si="0"/>
        <v>-15849547.0174703</v>
      </c>
      <c r="J18" s="261"/>
      <c r="K18" s="262">
        <f>Subcontratos!G40</f>
        <v>19701711</v>
      </c>
      <c r="L18" s="263"/>
      <c r="M18" s="264">
        <f t="shared" si="4"/>
        <v>-3852163.9825296998</v>
      </c>
      <c r="N18" s="265"/>
      <c r="O18" s="262">
        <f t="shared" si="1"/>
        <v>-19701711</v>
      </c>
      <c r="P18" s="266"/>
      <c r="Q18" s="425">
        <v>20000000</v>
      </c>
      <c r="R18" s="266"/>
      <c r="S18" s="274"/>
      <c r="T18" s="274"/>
      <c r="U18" s="274"/>
      <c r="V18" s="274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</row>
    <row r="19" spans="1:257" ht="25" customHeight="1">
      <c r="A19" s="7">
        <v>6</v>
      </c>
      <c r="B19" s="652" t="s">
        <v>119</v>
      </c>
      <c r="C19" s="653" t="s">
        <v>13</v>
      </c>
      <c r="D19" s="8"/>
      <c r="E19" s="260"/>
      <c r="F19" s="261"/>
      <c r="G19" s="422">
        <f>'Sub AD'!F46</f>
        <v>1374680</v>
      </c>
      <c r="H19" s="261"/>
      <c r="I19" s="262">
        <f t="shared" ref="I19" si="5">E19-G19</f>
        <v>-1374680</v>
      </c>
      <c r="J19" s="261"/>
      <c r="K19" s="262">
        <f>+'Sub AD'!E55</f>
        <v>1374680</v>
      </c>
      <c r="L19" s="263"/>
      <c r="M19" s="264">
        <f t="shared" ref="M19" si="6">G19-K19</f>
        <v>0</v>
      </c>
      <c r="N19" s="265"/>
      <c r="O19" s="262">
        <f t="shared" ref="O19" si="7">E19-K19</f>
        <v>-1374680</v>
      </c>
      <c r="P19" s="266"/>
      <c r="Q19" s="425">
        <v>1800000</v>
      </c>
      <c r="R19" s="266"/>
      <c r="S19" s="274"/>
      <c r="T19" s="274"/>
      <c r="U19" s="274"/>
      <c r="V19" s="274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</row>
    <row r="20" spans="1:257" ht="25" customHeight="1">
      <c r="A20" s="7">
        <v>7</v>
      </c>
      <c r="B20" s="648" t="s">
        <v>14</v>
      </c>
      <c r="C20" s="649" t="s">
        <v>14</v>
      </c>
      <c r="D20" s="8"/>
      <c r="E20" s="260"/>
      <c r="F20" s="261"/>
      <c r="G20" s="422">
        <f>Arriendos!D16</f>
        <v>4000000</v>
      </c>
      <c r="H20" s="261"/>
      <c r="I20" s="262">
        <f t="shared" si="0"/>
        <v>-4000000</v>
      </c>
      <c r="J20" s="261"/>
      <c r="K20" s="262">
        <f>Arriendos!J20</f>
        <v>337000</v>
      </c>
      <c r="L20" s="263"/>
      <c r="M20" s="264">
        <f t="shared" si="4"/>
        <v>3663000</v>
      </c>
      <c r="N20" s="265"/>
      <c r="O20" s="262">
        <f t="shared" si="1"/>
        <v>-337000</v>
      </c>
      <c r="P20" s="266"/>
      <c r="Q20" s="425">
        <v>2000000</v>
      </c>
      <c r="R20" s="266"/>
      <c r="S20" s="274"/>
      <c r="T20" s="274"/>
      <c r="U20" s="274"/>
      <c r="V20" s="274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</row>
    <row r="21" spans="1:257" ht="25" customHeight="1">
      <c r="A21" s="7">
        <v>8</v>
      </c>
      <c r="B21" s="648" t="s">
        <v>15</v>
      </c>
      <c r="C21" s="649" t="s">
        <v>15</v>
      </c>
      <c r="D21" s="8"/>
      <c r="E21" s="260"/>
      <c r="F21" s="261"/>
      <c r="G21" s="422">
        <f>'Materiales Obras'!F16</f>
        <v>15000000</v>
      </c>
      <c r="H21" s="261"/>
      <c r="I21" s="262">
        <f t="shared" si="0"/>
        <v>-15000000</v>
      </c>
      <c r="J21" s="261"/>
      <c r="K21" s="262">
        <f>'Materiales Obras'!L20</f>
        <v>11936081</v>
      </c>
      <c r="L21" s="263"/>
      <c r="M21" s="264">
        <f t="shared" si="4"/>
        <v>3063919</v>
      </c>
      <c r="N21" s="265"/>
      <c r="O21" s="262">
        <f t="shared" si="1"/>
        <v>-11936081</v>
      </c>
      <c r="P21" s="266"/>
      <c r="Q21" s="425">
        <v>15600000</v>
      </c>
      <c r="R21" s="266"/>
      <c r="S21" s="274"/>
      <c r="T21" s="274"/>
      <c r="U21" s="274"/>
      <c r="V21" s="274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</row>
    <row r="22" spans="1:257" ht="25" customHeight="1">
      <c r="A22" s="7">
        <v>9</v>
      </c>
      <c r="B22" s="648" t="s">
        <v>16</v>
      </c>
      <c r="C22" s="649" t="s">
        <v>16</v>
      </c>
      <c r="D22" s="8"/>
      <c r="E22" s="260"/>
      <c r="F22" s="261"/>
      <c r="G22" s="422">
        <f>'Materiales Prevención'!D16</f>
        <v>200000</v>
      </c>
      <c r="H22" s="261"/>
      <c r="I22" s="262">
        <f t="shared" si="0"/>
        <v>-200000</v>
      </c>
      <c r="J22" s="261"/>
      <c r="K22" s="262">
        <f>'Materiales Prevención'!J20</f>
        <v>117471</v>
      </c>
      <c r="L22" s="263"/>
      <c r="M22" s="264">
        <f t="shared" si="4"/>
        <v>82529</v>
      </c>
      <c r="N22" s="265"/>
      <c r="O22" s="262">
        <f t="shared" si="1"/>
        <v>-117471</v>
      </c>
      <c r="P22" s="266"/>
      <c r="Q22" s="425">
        <v>200000</v>
      </c>
      <c r="R22" s="266"/>
      <c r="S22" s="274"/>
      <c r="T22" s="274"/>
      <c r="U22" s="274"/>
      <c r="V22" s="274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</row>
    <row r="23" spans="1:257" ht="25" customHeight="1">
      <c r="A23" s="7">
        <v>10</v>
      </c>
      <c r="B23" s="648" t="s">
        <v>17</v>
      </c>
      <c r="C23" s="649" t="s">
        <v>17</v>
      </c>
      <c r="D23" s="8"/>
      <c r="E23" s="260"/>
      <c r="F23" s="261"/>
      <c r="G23" s="422">
        <f>Seguros!D16</f>
        <v>3000000</v>
      </c>
      <c r="H23" s="261"/>
      <c r="I23" s="262">
        <f t="shared" si="0"/>
        <v>-3000000</v>
      </c>
      <c r="J23" s="261"/>
      <c r="K23" s="262">
        <f>Seguros!J18</f>
        <v>1062421.3799999999</v>
      </c>
      <c r="L23" s="263"/>
      <c r="M23" s="264">
        <f t="shared" si="4"/>
        <v>1937578.62</v>
      </c>
      <c r="N23" s="265"/>
      <c r="O23" s="262">
        <f t="shared" si="1"/>
        <v>-1062421.3799999999</v>
      </c>
      <c r="P23" s="266"/>
      <c r="Q23" s="425">
        <f>+K23</f>
        <v>1062421.3799999999</v>
      </c>
      <c r="R23" s="266"/>
      <c r="S23" s="274"/>
      <c r="T23" s="274"/>
      <c r="U23" s="274"/>
      <c r="V23" s="274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</row>
    <row r="24" spans="1:257" ht="25" customHeight="1">
      <c r="A24" s="7">
        <v>11</v>
      </c>
      <c r="B24" s="648" t="s">
        <v>18</v>
      </c>
      <c r="C24" s="649" t="s">
        <v>18</v>
      </c>
      <c r="D24" s="8"/>
      <c r="E24" s="260"/>
      <c r="F24" s="261"/>
      <c r="G24" s="422">
        <f>'Gastos Oficina'!D16</f>
        <v>100000</v>
      </c>
      <c r="H24" s="261"/>
      <c r="I24" s="262">
        <f t="shared" si="0"/>
        <v>-100000</v>
      </c>
      <c r="J24" s="261"/>
      <c r="K24" s="262">
        <f>+'Gastos Oficina'!J20/37500</f>
        <v>0</v>
      </c>
      <c r="L24" s="263"/>
      <c r="M24" s="264">
        <f t="shared" si="4"/>
        <v>100000</v>
      </c>
      <c r="N24" s="265"/>
      <c r="O24" s="262">
        <f t="shared" si="1"/>
        <v>0</v>
      </c>
      <c r="P24" s="266"/>
      <c r="Q24" s="425">
        <v>100000</v>
      </c>
      <c r="R24" s="266"/>
      <c r="S24" s="274"/>
      <c r="T24" s="274"/>
      <c r="U24" s="274"/>
      <c r="V24" s="27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</row>
    <row r="25" spans="1:257" ht="25" customHeight="1">
      <c r="A25" s="7">
        <v>12</v>
      </c>
      <c r="B25" s="648" t="s">
        <v>112</v>
      </c>
      <c r="C25" s="649" t="s">
        <v>19</v>
      </c>
      <c r="D25" s="8"/>
      <c r="E25" s="260"/>
      <c r="F25" s="261"/>
      <c r="G25" s="422">
        <f>'MAS Herramientas'!D16</f>
        <v>1000000</v>
      </c>
      <c r="H25" s="261"/>
      <c r="I25" s="262">
        <f t="shared" si="0"/>
        <v>-1000000</v>
      </c>
      <c r="J25" s="261"/>
      <c r="K25" s="262">
        <f>'MAS Herramientas'!J18</f>
        <v>0</v>
      </c>
      <c r="L25" s="263"/>
      <c r="M25" s="264">
        <f t="shared" si="4"/>
        <v>1000000</v>
      </c>
      <c r="N25" s="265"/>
      <c r="O25" s="262">
        <f t="shared" si="1"/>
        <v>0</v>
      </c>
      <c r="P25" s="266"/>
      <c r="Q25" s="425">
        <v>2200000</v>
      </c>
      <c r="R25" s="266"/>
      <c r="S25" s="274"/>
      <c r="T25" s="274"/>
      <c r="U25" s="274"/>
      <c r="V25" s="274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</row>
    <row r="26" spans="1:257" ht="25" customHeight="1">
      <c r="A26" s="7">
        <v>13</v>
      </c>
      <c r="B26" s="648" t="s">
        <v>20</v>
      </c>
      <c r="C26" s="649" t="s">
        <v>20</v>
      </c>
      <c r="D26" s="8"/>
      <c r="E26" s="260"/>
      <c r="F26" s="261"/>
      <c r="G26" s="422">
        <f>Garantias!D28</f>
        <v>0</v>
      </c>
      <c r="H26" s="261"/>
      <c r="I26" s="262">
        <f t="shared" si="0"/>
        <v>0</v>
      </c>
      <c r="J26" s="261"/>
      <c r="K26" s="262">
        <f>Garantias!D28</f>
        <v>0</v>
      </c>
      <c r="L26" s="263"/>
      <c r="M26" s="264">
        <f t="shared" si="4"/>
        <v>0</v>
      </c>
      <c r="N26" s="265"/>
      <c r="O26" s="262">
        <f t="shared" si="1"/>
        <v>0</v>
      </c>
      <c r="P26" s="266"/>
      <c r="Q26" s="425"/>
      <c r="R26" s="266"/>
      <c r="S26" s="274"/>
      <c r="T26" s="274"/>
      <c r="U26" s="274"/>
      <c r="V26" s="274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</row>
    <row r="27" spans="1:257" ht="25" customHeight="1">
      <c r="A27" s="7">
        <v>14</v>
      </c>
      <c r="B27" s="648" t="s">
        <v>25</v>
      </c>
      <c r="C27" s="649" t="s">
        <v>21</v>
      </c>
      <c r="D27" s="8"/>
      <c r="E27" s="260"/>
      <c r="F27" s="261"/>
      <c r="G27" s="422">
        <f>'Gastos Rechazado'!D17</f>
        <v>700000</v>
      </c>
      <c r="H27" s="261"/>
      <c r="I27" s="262">
        <f t="shared" si="0"/>
        <v>-700000</v>
      </c>
      <c r="J27" s="261"/>
      <c r="K27" s="262">
        <f>+'Gastos Rechazado'!J122</f>
        <v>1102778.9915966387</v>
      </c>
      <c r="L27" s="263"/>
      <c r="M27" s="264">
        <f t="shared" si="4"/>
        <v>-402778.99159663869</v>
      </c>
      <c r="N27" s="265"/>
      <c r="O27" s="262">
        <f t="shared" si="1"/>
        <v>-1102778.9915966387</v>
      </c>
      <c r="P27" s="266"/>
      <c r="Q27" s="425">
        <v>1300000</v>
      </c>
      <c r="R27" s="266"/>
      <c r="S27" s="274"/>
      <c r="T27" s="274"/>
      <c r="U27" s="274"/>
      <c r="V27" s="274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</row>
    <row r="28" spans="1:257" ht="25" customHeight="1">
      <c r="A28" s="7">
        <v>15</v>
      </c>
      <c r="B28" s="648" t="s">
        <v>22</v>
      </c>
      <c r="C28" s="649" t="s">
        <v>22</v>
      </c>
      <c r="D28" s="8"/>
      <c r="E28" s="260"/>
      <c r="F28" s="261"/>
      <c r="G28" s="422">
        <f>'Gastos de factoring'!D22</f>
        <v>0</v>
      </c>
      <c r="H28" s="261"/>
      <c r="I28" s="262">
        <f t="shared" si="0"/>
        <v>0</v>
      </c>
      <c r="J28" s="261"/>
      <c r="K28" s="262">
        <f>'Gastos de factoring'!E22</f>
        <v>0</v>
      </c>
      <c r="L28" s="263"/>
      <c r="M28" s="264">
        <f>'Gastos de factoring'!E22</f>
        <v>0</v>
      </c>
      <c r="N28" s="265"/>
      <c r="O28" s="262">
        <f t="shared" si="1"/>
        <v>0</v>
      </c>
      <c r="P28" s="266"/>
      <c r="Q28" s="425"/>
      <c r="R28" s="266"/>
      <c r="S28" s="274"/>
      <c r="T28" s="274"/>
      <c r="U28" s="274"/>
      <c r="V28" s="274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</row>
    <row r="29" spans="1:257" ht="25" customHeight="1">
      <c r="A29" s="7">
        <v>16</v>
      </c>
      <c r="B29" s="184"/>
      <c r="C29" s="185"/>
      <c r="D29" s="186"/>
      <c r="E29" s="269"/>
      <c r="F29" s="270"/>
      <c r="G29" s="423"/>
      <c r="H29" s="270"/>
      <c r="I29" s="271"/>
      <c r="J29" s="270"/>
      <c r="K29" s="271"/>
      <c r="L29" s="272"/>
      <c r="M29" s="264"/>
      <c r="N29" s="275"/>
      <c r="O29" s="271"/>
      <c r="P29" s="266"/>
      <c r="Q29" s="426"/>
      <c r="R29" s="266"/>
      <c r="S29" s="274"/>
      <c r="T29" s="274"/>
      <c r="U29" s="274"/>
      <c r="V29" s="274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</row>
    <row r="30" spans="1:257" ht="25" customHeight="1">
      <c r="A30" s="7">
        <v>17</v>
      </c>
      <c r="B30" s="654" t="s">
        <v>118</v>
      </c>
      <c r="C30" s="655"/>
      <c r="D30" s="186"/>
      <c r="E30" s="269"/>
      <c r="F30" s="270"/>
      <c r="G30" s="424">
        <v>0</v>
      </c>
      <c r="H30" s="277"/>
      <c r="I30" s="276">
        <v>0</v>
      </c>
      <c r="J30" s="277"/>
      <c r="K30" s="276">
        <v>0</v>
      </c>
      <c r="L30" s="278"/>
      <c r="M30" s="279">
        <v>0</v>
      </c>
      <c r="N30" s="280"/>
      <c r="O30" s="276">
        <v>0</v>
      </c>
      <c r="P30" s="281"/>
      <c r="Q30" s="427">
        <v>0</v>
      </c>
      <c r="R30" s="266"/>
      <c r="S30" s="274"/>
      <c r="T30" s="274"/>
      <c r="U30" s="274"/>
      <c r="V30" s="274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</row>
    <row r="31" spans="1:257" ht="25" customHeight="1">
      <c r="A31" s="7"/>
      <c r="B31" s="650"/>
      <c r="C31" s="651"/>
      <c r="D31" s="8"/>
      <c r="E31" s="262"/>
      <c r="F31" s="261"/>
      <c r="G31" s="422"/>
      <c r="H31" s="261"/>
      <c r="I31" s="262"/>
      <c r="J31" s="261"/>
      <c r="K31" s="262"/>
      <c r="L31" s="263"/>
      <c r="M31" s="264"/>
      <c r="N31" s="265"/>
      <c r="O31" s="262"/>
      <c r="P31" s="266"/>
      <c r="Q31" s="428"/>
      <c r="R31" s="266"/>
      <c r="S31" s="274"/>
      <c r="T31" s="274"/>
      <c r="U31" s="274"/>
      <c r="V31" s="274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</row>
    <row r="32" spans="1:257" ht="25" customHeight="1">
      <c r="A32" s="645" t="s">
        <v>5</v>
      </c>
      <c r="B32" s="646"/>
      <c r="C32" s="647"/>
      <c r="D32" s="128" t="s">
        <v>9</v>
      </c>
      <c r="E32" s="282">
        <f>SUM(E14:E31)</f>
        <v>71878939.270446032</v>
      </c>
      <c r="F32" s="283"/>
      <c r="G32" s="282">
        <f>SUM(G14:G31)</f>
        <v>69438485.634136975</v>
      </c>
      <c r="H32" s="283"/>
      <c r="I32" s="284">
        <f>SUM(I14:I31)</f>
        <v>2440453.6363090649</v>
      </c>
      <c r="J32" s="283"/>
      <c r="K32" s="285">
        <f>SUM(K14:K31)</f>
        <v>67758001.988263309</v>
      </c>
      <c r="L32" s="286"/>
      <c r="M32" s="287">
        <f>SUM(M14:M31)</f>
        <v>1680483.6458736616</v>
      </c>
      <c r="N32" s="288"/>
      <c r="O32" s="289">
        <f>SUM(O14:O31)</f>
        <v>4120937.2821827265</v>
      </c>
      <c r="P32" s="266"/>
      <c r="Q32" s="429">
        <f>SUM(Q14:Q31)</f>
        <v>76762421.379999995</v>
      </c>
      <c r="R32" s="266"/>
      <c r="S32" s="266"/>
      <c r="T32" s="266"/>
      <c r="U32" s="266"/>
      <c r="V32" s="266"/>
    </row>
    <row r="33" spans="1:257" ht="25" customHeight="1">
      <c r="A33" s="7">
        <v>1</v>
      </c>
      <c r="B33" s="638" t="s">
        <v>6</v>
      </c>
      <c r="C33" s="639"/>
      <c r="D33" s="9"/>
      <c r="E33" s="262">
        <f>Itemizado!G98</f>
        <v>11301628.332554083</v>
      </c>
      <c r="F33" s="261"/>
      <c r="G33" s="262">
        <v>0</v>
      </c>
      <c r="H33" s="261"/>
      <c r="I33" s="262">
        <f t="shared" ref="I33:I35" si="8">E33-G33</f>
        <v>11301628.332554083</v>
      </c>
      <c r="J33" s="261"/>
      <c r="K33" s="290">
        <v>0</v>
      </c>
      <c r="L33" s="263"/>
      <c r="M33" s="264"/>
      <c r="N33" s="265"/>
      <c r="O33" s="262">
        <f t="shared" si="1"/>
        <v>11301628.332554083</v>
      </c>
      <c r="P33" s="266"/>
      <c r="Q33" s="430">
        <v>0</v>
      </c>
      <c r="R33" s="266"/>
      <c r="S33" s="266"/>
      <c r="T33" s="266"/>
      <c r="U33" s="266"/>
      <c r="V33" s="266"/>
    </row>
    <row r="34" spans="1:257" ht="25" customHeight="1">
      <c r="A34" s="16">
        <v>2</v>
      </c>
      <c r="B34" s="18" t="s">
        <v>7</v>
      </c>
      <c r="C34" s="19"/>
      <c r="D34" s="17"/>
      <c r="E34" s="291">
        <f>Itemizado!G99</f>
        <v>3236165.9841723014</v>
      </c>
      <c r="F34" s="261"/>
      <c r="G34" s="262">
        <v>0</v>
      </c>
      <c r="H34" s="261"/>
      <c r="I34" s="262">
        <f t="shared" si="8"/>
        <v>3236165.9841723014</v>
      </c>
      <c r="J34" s="261"/>
      <c r="K34" s="290">
        <v>0</v>
      </c>
      <c r="L34" s="263"/>
      <c r="M34" s="264"/>
      <c r="N34" s="265"/>
      <c r="O34" s="262">
        <f t="shared" si="1"/>
        <v>3236165.9841723014</v>
      </c>
      <c r="P34" s="266"/>
      <c r="Q34" s="430">
        <v>0</v>
      </c>
      <c r="R34" s="266"/>
      <c r="S34" s="266"/>
      <c r="T34" s="266"/>
      <c r="U34" s="266"/>
      <c r="V34" s="266"/>
    </row>
    <row r="35" spans="1:257" ht="25" customHeight="1">
      <c r="A35" s="20">
        <v>3</v>
      </c>
      <c r="B35" s="640" t="s">
        <v>11</v>
      </c>
      <c r="C35" s="641"/>
      <c r="D35" s="21"/>
      <c r="E35" s="292"/>
      <c r="F35" s="261"/>
      <c r="G35" s="262">
        <v>0</v>
      </c>
      <c r="H35" s="261"/>
      <c r="I35" s="262">
        <f t="shared" si="8"/>
        <v>0</v>
      </c>
      <c r="J35" s="261"/>
      <c r="K35" s="290"/>
      <c r="L35" s="263"/>
      <c r="M35" s="264"/>
      <c r="N35" s="265"/>
      <c r="O35" s="262">
        <f t="shared" si="1"/>
        <v>0</v>
      </c>
      <c r="P35" s="266"/>
      <c r="Q35" s="431">
        <v>0</v>
      </c>
      <c r="R35" s="266"/>
      <c r="S35" s="266"/>
      <c r="T35" s="266"/>
      <c r="U35" s="266"/>
      <c r="V35" s="266"/>
    </row>
    <row r="36" spans="1:257" ht="25" customHeight="1">
      <c r="A36" s="645" t="s">
        <v>8</v>
      </c>
      <c r="B36" s="646"/>
      <c r="C36" s="647"/>
      <c r="D36" s="128" t="s">
        <v>9</v>
      </c>
      <c r="E36" s="282">
        <f>SUM(E32:E35)</f>
        <v>86416733.587172419</v>
      </c>
      <c r="F36" s="283"/>
      <c r="G36" s="282">
        <f>SUM(G32:G35)</f>
        <v>69438485.634136975</v>
      </c>
      <c r="H36" s="283"/>
      <c r="I36" s="284">
        <f>SUM(I32:I35)</f>
        <v>16978247.953035451</v>
      </c>
      <c r="J36" s="283"/>
      <c r="K36" s="289">
        <f>SUM(K32:K35)</f>
        <v>67758001.988263309</v>
      </c>
      <c r="L36" s="286"/>
      <c r="M36" s="289">
        <f>SUM(M32:M35)</f>
        <v>1680483.6458736616</v>
      </c>
      <c r="N36" s="288"/>
      <c r="O36" s="289">
        <f>SUM(O32:O35)</f>
        <v>18658731.59890911</v>
      </c>
      <c r="P36" s="266"/>
      <c r="Q36" s="432">
        <f>E36-Q32</f>
        <v>9654312.2071724236</v>
      </c>
      <c r="R36" s="266"/>
      <c r="S36" s="266"/>
      <c r="T36" s="266"/>
      <c r="U36" s="266"/>
      <c r="V36" s="266"/>
    </row>
    <row r="37" spans="1:257" ht="18.25" customHeight="1">
      <c r="A37" s="108"/>
      <c r="B37" s="109"/>
      <c r="C37" s="109"/>
      <c r="D37" s="109"/>
      <c r="E37" s="293"/>
      <c r="F37" s="293"/>
      <c r="G37" s="293"/>
      <c r="H37" s="293"/>
      <c r="I37" s="420">
        <f>I36/E36</f>
        <v>0.19646944808332445</v>
      </c>
      <c r="J37" s="293"/>
      <c r="K37" s="293"/>
      <c r="L37" s="293"/>
      <c r="M37" s="293"/>
      <c r="N37" s="293"/>
      <c r="O37" s="294"/>
      <c r="P37" s="266"/>
      <c r="Q37" s="433">
        <f>Q36/E36</f>
        <v>0.11171808753259214</v>
      </c>
      <c r="R37" s="266"/>
      <c r="S37" s="266"/>
      <c r="T37" s="266"/>
      <c r="U37" s="266"/>
      <c r="V37" s="266"/>
    </row>
    <row r="38" spans="1:257" s="15" customFormat="1" ht="25" customHeight="1">
      <c r="A38" s="642" t="s">
        <v>10</v>
      </c>
      <c r="B38" s="643"/>
      <c r="C38" s="644"/>
      <c r="D38" s="128" t="s">
        <v>84</v>
      </c>
      <c r="E38" s="295">
        <v>0</v>
      </c>
      <c r="F38" s="296"/>
      <c r="G38" s="295">
        <v>0</v>
      </c>
      <c r="H38" s="296"/>
      <c r="I38" s="297">
        <v>0</v>
      </c>
      <c r="J38" s="296"/>
      <c r="K38" s="298">
        <v>0</v>
      </c>
      <c r="L38" s="299"/>
      <c r="M38" s="298">
        <v>0</v>
      </c>
      <c r="N38" s="300"/>
      <c r="O38" s="298">
        <v>0</v>
      </c>
      <c r="P38" s="301"/>
      <c r="Q38" s="432">
        <v>0</v>
      </c>
      <c r="R38" s="301"/>
      <c r="S38" s="301"/>
      <c r="T38" s="301"/>
      <c r="U38" s="301"/>
      <c r="V38" s="301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J38" s="14"/>
      <c r="DK38" s="14"/>
      <c r="DL38" s="14"/>
      <c r="DM38" s="14"/>
      <c r="DN38" s="14"/>
      <c r="DO38" s="14"/>
      <c r="DP38" s="14"/>
      <c r="DQ38" s="14"/>
      <c r="DR38" s="14"/>
      <c r="DS38" s="14"/>
      <c r="DT38" s="14"/>
      <c r="DU38" s="14"/>
      <c r="DV38" s="14"/>
      <c r="DW38" s="14"/>
      <c r="DX38" s="14"/>
      <c r="DY38" s="14"/>
      <c r="DZ38" s="14"/>
      <c r="EA38" s="14"/>
      <c r="EB38" s="14"/>
      <c r="EC38" s="14"/>
      <c r="ED38" s="14"/>
      <c r="EE38" s="14"/>
      <c r="EF38" s="14"/>
      <c r="EG38" s="14"/>
      <c r="EH38" s="14"/>
      <c r="EI38" s="14"/>
      <c r="EJ38" s="14"/>
      <c r="EK38" s="14"/>
      <c r="EL38" s="14"/>
      <c r="EM38" s="14"/>
      <c r="EN38" s="14"/>
      <c r="EO38" s="14"/>
      <c r="EP38" s="14"/>
      <c r="EQ38" s="14"/>
      <c r="ER38" s="14"/>
      <c r="ES38" s="14"/>
      <c r="ET38" s="14"/>
      <c r="EU38" s="14"/>
      <c r="EV38" s="14"/>
      <c r="EW38" s="14"/>
      <c r="EX38" s="14"/>
      <c r="EY38" s="14"/>
      <c r="EZ38" s="14"/>
      <c r="FA38" s="14"/>
      <c r="FB38" s="14"/>
      <c r="FC38" s="14"/>
      <c r="FD38" s="14"/>
      <c r="FE38" s="14"/>
      <c r="FF38" s="14"/>
      <c r="FG38" s="14"/>
      <c r="FH38" s="14"/>
      <c r="FI38" s="14"/>
      <c r="FJ38" s="14"/>
      <c r="FK38" s="14"/>
      <c r="FL38" s="14"/>
      <c r="FM38" s="14"/>
      <c r="FN38" s="14"/>
      <c r="FO38" s="14"/>
      <c r="FP38" s="14"/>
      <c r="FQ38" s="14"/>
      <c r="FR38" s="14"/>
      <c r="FS38" s="14"/>
      <c r="FT38" s="14"/>
      <c r="FU38" s="14"/>
      <c r="FV38" s="14"/>
      <c r="FW38" s="14"/>
      <c r="FX38" s="14"/>
      <c r="FY38" s="14"/>
      <c r="FZ38" s="14"/>
      <c r="GA38" s="14"/>
      <c r="GB38" s="14"/>
      <c r="GC38" s="14"/>
      <c r="GD38" s="14"/>
      <c r="GE38" s="14"/>
      <c r="GF38" s="14"/>
      <c r="GG38" s="14"/>
      <c r="GH38" s="14"/>
      <c r="GI38" s="14"/>
      <c r="GJ38" s="14"/>
      <c r="GK38" s="14"/>
      <c r="GL38" s="14"/>
      <c r="GM38" s="14"/>
      <c r="GN38" s="14"/>
      <c r="GO38" s="14"/>
      <c r="GP38" s="14"/>
      <c r="GQ38" s="14"/>
      <c r="GR38" s="14"/>
      <c r="GS38" s="14"/>
      <c r="GT38" s="14"/>
      <c r="GU38" s="14"/>
      <c r="GV38" s="14"/>
      <c r="GW38" s="14"/>
      <c r="GX38" s="14"/>
      <c r="GY38" s="14"/>
      <c r="GZ38" s="14"/>
      <c r="HA38" s="14"/>
      <c r="HB38" s="14"/>
      <c r="HC38" s="14"/>
      <c r="HD38" s="14"/>
      <c r="HE38" s="14"/>
      <c r="HF38" s="14"/>
      <c r="HG38" s="14"/>
      <c r="HH38" s="14"/>
      <c r="HI38" s="14"/>
      <c r="HJ38" s="14"/>
      <c r="HK38" s="14"/>
      <c r="HL38" s="14"/>
      <c r="HM38" s="14"/>
      <c r="HN38" s="14"/>
      <c r="HO38" s="14"/>
      <c r="HP38" s="14"/>
      <c r="HQ38" s="14"/>
      <c r="HR38" s="14"/>
      <c r="HS38" s="14"/>
      <c r="HT38" s="14"/>
      <c r="HU38" s="14"/>
      <c r="HV38" s="14"/>
      <c r="HW38" s="14"/>
      <c r="HX38" s="14"/>
      <c r="HY38" s="14"/>
      <c r="HZ38" s="14"/>
      <c r="IA38" s="14"/>
      <c r="IB38" s="14"/>
      <c r="IC38" s="14"/>
      <c r="ID38" s="14"/>
      <c r="IE38" s="14"/>
      <c r="IF38" s="14"/>
      <c r="IG38" s="14"/>
      <c r="IH38" s="14"/>
      <c r="II38" s="14"/>
      <c r="IJ38" s="14"/>
      <c r="IK38" s="14"/>
      <c r="IL38" s="14"/>
      <c r="IM38" s="14"/>
      <c r="IN38" s="14"/>
      <c r="IO38" s="14"/>
      <c r="IP38" s="14"/>
      <c r="IQ38" s="14"/>
      <c r="IR38" s="14"/>
      <c r="IS38" s="14"/>
      <c r="IT38" s="14"/>
      <c r="IU38" s="14"/>
      <c r="IV38" s="14"/>
      <c r="IW38" s="14"/>
    </row>
    <row r="39" spans="1:257" ht="18" customHeight="1">
      <c r="A39" s="10"/>
      <c r="B39" s="3"/>
      <c r="C39" s="3"/>
      <c r="D39" s="3"/>
      <c r="E39" s="302"/>
      <c r="F39" s="302"/>
      <c r="G39" s="302"/>
      <c r="H39" s="302"/>
      <c r="I39" s="302"/>
      <c r="J39" s="302"/>
      <c r="K39" s="302"/>
      <c r="L39" s="302"/>
      <c r="M39" s="303"/>
      <c r="N39" s="302"/>
      <c r="O39" s="302"/>
      <c r="P39" s="266"/>
      <c r="Q39" s="304"/>
      <c r="R39" s="266"/>
      <c r="S39" s="266"/>
      <c r="T39" s="266"/>
      <c r="U39" s="266"/>
      <c r="V39" s="266"/>
    </row>
    <row r="40" spans="1:257" ht="18" customHeight="1">
      <c r="A40" s="180"/>
      <c r="B40" s="164"/>
      <c r="C40" s="164"/>
      <c r="D40" s="164"/>
      <c r="E40" s="305"/>
      <c r="F40" s="305"/>
      <c r="G40" s="305"/>
      <c r="H40" s="305"/>
      <c r="I40" s="305"/>
      <c r="J40" s="305"/>
      <c r="K40" s="305"/>
      <c r="L40" s="305"/>
      <c r="M40" s="303"/>
      <c r="N40" s="305"/>
      <c r="O40" s="305"/>
      <c r="P40" s="266"/>
      <c r="Q40" s="305"/>
      <c r="R40" s="266"/>
      <c r="S40" s="266"/>
      <c r="T40" s="266"/>
      <c r="U40" s="266"/>
      <c r="V40" s="266"/>
    </row>
    <row r="41" spans="1:257" ht="18" customHeight="1">
      <c r="A41" s="180"/>
      <c r="B41" s="164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13"/>
      <c r="N41" s="164"/>
      <c r="O41" s="164"/>
      <c r="Q41" s="164"/>
    </row>
    <row r="42" spans="1:257" ht="18" customHeight="1">
      <c r="A42" s="180"/>
      <c r="B42" s="164"/>
      <c r="C42" s="164"/>
      <c r="D42" s="164"/>
      <c r="E42" s="164"/>
      <c r="F42" s="164"/>
      <c r="G42" s="164"/>
      <c r="H42" s="164"/>
      <c r="I42" s="164"/>
      <c r="J42" s="164"/>
      <c r="K42" s="164"/>
      <c r="L42" s="164"/>
      <c r="M42" s="113"/>
      <c r="N42" s="164"/>
      <c r="O42" s="164"/>
      <c r="Q42" s="164"/>
    </row>
    <row r="43" spans="1:257" ht="18" customHeight="1">
      <c r="A43" s="180"/>
      <c r="B43" s="164"/>
      <c r="C43" s="164"/>
      <c r="D43" s="164"/>
      <c r="E43" s="164"/>
      <c r="F43" s="164"/>
      <c r="G43" s="164"/>
      <c r="H43" s="164"/>
      <c r="I43" s="164"/>
      <c r="J43" s="164"/>
      <c r="K43" s="164"/>
      <c r="L43" s="164"/>
      <c r="M43" s="113"/>
      <c r="N43" s="164"/>
      <c r="O43" s="164"/>
      <c r="Q43" s="164"/>
    </row>
    <row r="44" spans="1:257" ht="18" customHeight="1">
      <c r="A44" s="10"/>
      <c r="B44" s="3"/>
      <c r="C44" s="11"/>
      <c r="D44" s="3"/>
      <c r="E44" s="12"/>
      <c r="F44" s="3"/>
      <c r="G44" s="3"/>
      <c r="H44" s="3"/>
      <c r="I44" s="13"/>
      <c r="J44" s="3"/>
      <c r="K44" s="3"/>
      <c r="L44" s="3"/>
      <c r="M44" s="107"/>
      <c r="N44" s="3"/>
      <c r="O44" s="13"/>
      <c r="Q44" s="107"/>
    </row>
  </sheetData>
  <mergeCells count="28">
    <mergeCell ref="Q1:Q10"/>
    <mergeCell ref="K11:O11"/>
    <mergeCell ref="E11:I11"/>
    <mergeCell ref="B14:C14"/>
    <mergeCell ref="B13:C13"/>
    <mergeCell ref="A1:C12"/>
    <mergeCell ref="F9:I9"/>
    <mergeCell ref="B26:C26"/>
    <mergeCell ref="B31:C31"/>
    <mergeCell ref="B24:C24"/>
    <mergeCell ref="B23:C23"/>
    <mergeCell ref="B15:C15"/>
    <mergeCell ref="B28:C28"/>
    <mergeCell ref="B25:C25"/>
    <mergeCell ref="B27:C27"/>
    <mergeCell ref="B16:C16"/>
    <mergeCell ref="B17:C17"/>
    <mergeCell ref="B18:C18"/>
    <mergeCell ref="B20:C20"/>
    <mergeCell ref="B21:C21"/>
    <mergeCell ref="B22:C22"/>
    <mergeCell ref="B19:C19"/>
    <mergeCell ref="B30:C30"/>
    <mergeCell ref="B33:C33"/>
    <mergeCell ref="B35:C35"/>
    <mergeCell ref="A38:C38"/>
    <mergeCell ref="A36:C36"/>
    <mergeCell ref="A32:C32"/>
  </mergeCells>
  <phoneticPr fontId="11" type="noConversion"/>
  <pageMargins left="1" right="1" top="1" bottom="1" header="0.25" footer="0.25"/>
  <pageSetup scale="40" orientation="landscape" r:id="rId1"/>
  <headerFooter>
    <oddFooter>&amp;C&amp;"Helvetica,Regular"&amp;12&amp;K000000&amp;P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X120"/>
  <sheetViews>
    <sheetView topLeftCell="A79" zoomScale="85" zoomScaleNormal="85" workbookViewId="0">
      <selection activeCell="N97" sqref="N97"/>
    </sheetView>
  </sheetViews>
  <sheetFormatPr baseColWidth="10" defaultColWidth="12.5" defaultRowHeight="13"/>
  <cols>
    <col min="1" max="1" width="2.6640625" style="436" customWidth="1"/>
    <col min="2" max="2" width="7" style="436" bestFit="1" customWidth="1"/>
    <col min="3" max="3" width="69.33203125" style="436" customWidth="1"/>
    <col min="4" max="4" width="12.1640625" style="436" customWidth="1"/>
    <col min="5" max="5" width="12.1640625" style="436" bestFit="1" customWidth="1"/>
    <col min="6" max="6" width="16" style="449" bestFit="1" customWidth="1"/>
    <col min="7" max="7" width="17.83203125" style="449" customWidth="1"/>
    <col min="8" max="9" width="22.5" style="451" hidden="1" customWidth="1"/>
    <col min="10" max="16" width="23.83203125" style="485" customWidth="1"/>
    <col min="17" max="24" width="12.5" style="485"/>
    <col min="25" max="16384" width="12.5" style="436"/>
  </cols>
  <sheetData>
    <row r="1" spans="2:18" ht="15.75" customHeight="1">
      <c r="B1" s="482"/>
      <c r="C1" s="483"/>
      <c r="D1" s="484"/>
      <c r="E1" s="483"/>
      <c r="F1" s="434" t="s">
        <v>142</v>
      </c>
      <c r="G1" s="434" t="s">
        <v>143</v>
      </c>
      <c r="H1" s="435"/>
      <c r="I1" s="435"/>
    </row>
    <row r="2" spans="2:18" ht="15.75" customHeight="1">
      <c r="B2" s="437"/>
      <c r="C2" s="438"/>
      <c r="E2" s="439"/>
      <c r="F2" s="434" t="s">
        <v>144</v>
      </c>
      <c r="G2" s="434" t="s">
        <v>145</v>
      </c>
      <c r="H2" s="435"/>
      <c r="I2" s="435"/>
    </row>
    <row r="3" spans="2:18" ht="15.75" customHeight="1">
      <c r="B3" s="440"/>
      <c r="C3" s="441"/>
      <c r="D3" s="442"/>
      <c r="E3" s="441"/>
      <c r="F3" s="434" t="s">
        <v>65</v>
      </c>
      <c r="G3" s="443">
        <v>45031</v>
      </c>
      <c r="H3" s="435"/>
      <c r="I3" s="435"/>
    </row>
    <row r="4" spans="2:18" ht="15.75" customHeight="1">
      <c r="B4" s="439"/>
      <c r="C4" s="439"/>
      <c r="D4" s="444"/>
      <c r="E4" s="439"/>
      <c r="F4" s="445"/>
      <c r="G4" s="445"/>
      <c r="H4" s="446"/>
      <c r="I4" s="446"/>
    </row>
    <row r="5" spans="2:18" ht="16">
      <c r="C5" s="447" t="s">
        <v>146</v>
      </c>
      <c r="D5" s="436" t="s">
        <v>147</v>
      </c>
      <c r="E5" s="448">
        <v>45820</v>
      </c>
      <c r="G5" s="450"/>
    </row>
    <row r="6" spans="2:18" ht="17">
      <c r="B6" s="452" t="s">
        <v>148</v>
      </c>
      <c r="C6" s="486" t="s">
        <v>149</v>
      </c>
      <c r="D6" s="486" t="s">
        <v>150</v>
      </c>
      <c r="E6" s="452" t="s">
        <v>151</v>
      </c>
      <c r="F6" s="453" t="s">
        <v>152</v>
      </c>
      <c r="G6" s="453" t="s">
        <v>153</v>
      </c>
      <c r="H6" s="454" t="s">
        <v>154</v>
      </c>
      <c r="I6" s="454" t="s">
        <v>155</v>
      </c>
      <c r="J6" s="485" t="s">
        <v>354</v>
      </c>
      <c r="K6" s="485" t="s">
        <v>350</v>
      </c>
      <c r="L6" s="485" t="s">
        <v>355</v>
      </c>
      <c r="M6" s="485" t="s">
        <v>356</v>
      </c>
      <c r="N6" s="485" t="s">
        <v>351</v>
      </c>
      <c r="O6" s="485" t="s">
        <v>352</v>
      </c>
      <c r="P6" s="485" t="s">
        <v>357</v>
      </c>
      <c r="Q6" s="485" t="s">
        <v>353</v>
      </c>
      <c r="R6" s="485" t="s">
        <v>120</v>
      </c>
    </row>
    <row r="8" spans="2:18" ht="16">
      <c r="B8" s="455">
        <v>1</v>
      </c>
      <c r="C8" s="456" t="s">
        <v>156</v>
      </c>
      <c r="D8" s="457"/>
      <c r="E8" s="458"/>
      <c r="F8" s="459"/>
      <c r="G8" s="460"/>
      <c r="H8" s="461"/>
      <c r="I8" s="461"/>
    </row>
    <row r="9" spans="2:18" ht="16">
      <c r="B9" s="455" t="s">
        <v>157</v>
      </c>
      <c r="C9" s="456" t="s">
        <v>158</v>
      </c>
      <c r="D9" s="457"/>
      <c r="E9" s="458"/>
      <c r="F9" s="459"/>
      <c r="G9" s="460"/>
      <c r="H9" s="461"/>
      <c r="I9" s="461"/>
    </row>
    <row r="10" spans="2:18" ht="17">
      <c r="B10" s="462" t="s">
        <v>159</v>
      </c>
      <c r="C10" s="463" t="s">
        <v>160</v>
      </c>
      <c r="D10" s="464" t="s">
        <v>161</v>
      </c>
      <c r="E10" s="465">
        <v>1</v>
      </c>
      <c r="F10" s="466">
        <v>250000</v>
      </c>
      <c r="G10" s="466">
        <f>E10*F10</f>
        <v>250000</v>
      </c>
      <c r="H10" s="467"/>
      <c r="I10" s="467"/>
      <c r="J10" s="487">
        <f>G10</f>
        <v>250000</v>
      </c>
    </row>
    <row r="11" spans="2:18" ht="17">
      <c r="B11" s="462" t="s">
        <v>162</v>
      </c>
      <c r="C11" s="463" t="s">
        <v>163</v>
      </c>
      <c r="D11" s="464" t="s">
        <v>161</v>
      </c>
      <c r="E11" s="465">
        <v>1</v>
      </c>
      <c r="F11" s="466"/>
      <c r="G11" s="466">
        <f t="shared" ref="G11:G15" si="0">E11*F11</f>
        <v>0</v>
      </c>
      <c r="H11" s="467"/>
      <c r="I11" s="467"/>
    </row>
    <row r="12" spans="2:18" ht="17">
      <c r="B12" s="462" t="s">
        <v>164</v>
      </c>
      <c r="C12" s="463" t="s">
        <v>165</v>
      </c>
      <c r="D12" s="464" t="s">
        <v>161</v>
      </c>
      <c r="E12" s="465">
        <v>1</v>
      </c>
      <c r="F12" s="466"/>
      <c r="G12" s="466">
        <f t="shared" si="0"/>
        <v>0</v>
      </c>
      <c r="H12" s="467"/>
      <c r="I12" s="467"/>
    </row>
    <row r="13" spans="2:18" ht="17">
      <c r="B13" s="462" t="s">
        <v>166</v>
      </c>
      <c r="C13" s="463" t="s">
        <v>167</v>
      </c>
      <c r="D13" s="464" t="s">
        <v>161</v>
      </c>
      <c r="E13" s="465">
        <v>1</v>
      </c>
      <c r="F13" s="466">
        <v>75000</v>
      </c>
      <c r="G13" s="466">
        <f t="shared" si="0"/>
        <v>75000</v>
      </c>
      <c r="H13" s="467"/>
      <c r="I13" s="467"/>
      <c r="J13" s="487">
        <f t="shared" ref="J13:J21" si="1">G13</f>
        <v>75000</v>
      </c>
    </row>
    <row r="14" spans="2:18" ht="17">
      <c r="B14" s="462" t="s">
        <v>168</v>
      </c>
      <c r="C14" s="463" t="s">
        <v>169</v>
      </c>
      <c r="D14" s="464" t="s">
        <v>161</v>
      </c>
      <c r="E14" s="465">
        <v>1</v>
      </c>
      <c r="F14" s="466">
        <v>950000</v>
      </c>
      <c r="G14" s="466">
        <f t="shared" si="0"/>
        <v>950000</v>
      </c>
      <c r="H14" s="467"/>
      <c r="I14" s="467" t="s">
        <v>170</v>
      </c>
      <c r="J14" s="487">
        <f t="shared" si="1"/>
        <v>950000</v>
      </c>
    </row>
    <row r="15" spans="2:18" ht="51">
      <c r="B15" s="462" t="s">
        <v>171</v>
      </c>
      <c r="C15" s="463" t="s">
        <v>172</v>
      </c>
      <c r="D15" s="464" t="s">
        <v>173</v>
      </c>
      <c r="E15" s="465">
        <v>20</v>
      </c>
      <c r="F15" s="466">
        <v>15000</v>
      </c>
      <c r="G15" s="466">
        <f t="shared" si="0"/>
        <v>300000</v>
      </c>
      <c r="H15" s="467" t="s">
        <v>174</v>
      </c>
      <c r="I15" s="467"/>
      <c r="J15" s="487">
        <f t="shared" si="1"/>
        <v>300000</v>
      </c>
    </row>
    <row r="16" spans="2:18" ht="16">
      <c r="B16" s="462" t="s">
        <v>175</v>
      </c>
      <c r="C16" s="436" t="s">
        <v>176</v>
      </c>
      <c r="D16" s="464" t="s">
        <v>173</v>
      </c>
      <c r="E16" s="465">
        <v>10</v>
      </c>
      <c r="F16" s="466">
        <v>10000</v>
      </c>
      <c r="G16" s="466">
        <f>E16*F16</f>
        <v>100000</v>
      </c>
      <c r="H16" s="467"/>
      <c r="I16" s="467"/>
      <c r="J16" s="487">
        <f t="shared" si="1"/>
        <v>100000</v>
      </c>
    </row>
    <row r="17" spans="2:11" ht="17">
      <c r="B17" s="462" t="s">
        <v>177</v>
      </c>
      <c r="C17" s="468" t="s">
        <v>178</v>
      </c>
      <c r="D17" s="464" t="s">
        <v>173</v>
      </c>
      <c r="E17" s="465">
        <v>2</v>
      </c>
      <c r="F17" s="466">
        <v>50000</v>
      </c>
      <c r="G17" s="466">
        <f>E17*F17</f>
        <v>100000</v>
      </c>
      <c r="H17" s="467"/>
      <c r="I17" s="467"/>
      <c r="J17" s="487">
        <f t="shared" si="1"/>
        <v>100000</v>
      </c>
    </row>
    <row r="18" spans="2:11" ht="16">
      <c r="B18" s="462" t="s">
        <v>179</v>
      </c>
      <c r="C18" s="469" t="s">
        <v>180</v>
      </c>
      <c r="D18" s="464" t="s">
        <v>173</v>
      </c>
      <c r="E18" s="465">
        <v>9</v>
      </c>
      <c r="F18" s="466">
        <v>20000</v>
      </c>
      <c r="G18" s="466">
        <f>E18*F18</f>
        <v>180000</v>
      </c>
      <c r="H18" s="467"/>
      <c r="I18" s="467"/>
      <c r="J18" s="487">
        <f t="shared" si="1"/>
        <v>180000</v>
      </c>
    </row>
    <row r="19" spans="2:11" ht="16">
      <c r="B19" s="462" t="s">
        <v>181</v>
      </c>
      <c r="C19" s="470" t="s">
        <v>182</v>
      </c>
      <c r="D19" s="464" t="s">
        <v>183</v>
      </c>
      <c r="E19" s="465">
        <v>348.29999999999995</v>
      </c>
      <c r="F19" s="466">
        <v>6500</v>
      </c>
      <c r="G19" s="466">
        <f t="shared" ref="G19:G40" si="2">E19*F19</f>
        <v>2263949.9999999995</v>
      </c>
      <c r="H19" s="467"/>
      <c r="I19" s="467"/>
      <c r="J19" s="487">
        <f t="shared" si="1"/>
        <v>2263949.9999999995</v>
      </c>
    </row>
    <row r="20" spans="2:11" ht="16">
      <c r="B20" s="462" t="s">
        <v>184</v>
      </c>
      <c r="C20" s="470" t="s">
        <v>185</v>
      </c>
      <c r="D20" s="464" t="s">
        <v>183</v>
      </c>
      <c r="E20" s="465">
        <v>133.65</v>
      </c>
      <c r="F20" s="466">
        <v>6500</v>
      </c>
      <c r="G20" s="466">
        <f t="shared" si="2"/>
        <v>868725</v>
      </c>
      <c r="H20" s="467"/>
      <c r="I20" s="467"/>
      <c r="J20" s="487">
        <f t="shared" si="1"/>
        <v>868725</v>
      </c>
    </row>
    <row r="21" spans="2:11" ht="16">
      <c r="B21" s="462" t="s">
        <v>186</v>
      </c>
      <c r="C21" s="470" t="s">
        <v>187</v>
      </c>
      <c r="D21" s="464" t="s">
        <v>183</v>
      </c>
      <c r="E21" s="465">
        <v>84.739999999999981</v>
      </c>
      <c r="F21" s="466">
        <v>6500</v>
      </c>
      <c r="G21" s="466">
        <f t="shared" si="2"/>
        <v>550809.99999999988</v>
      </c>
      <c r="H21" s="467"/>
      <c r="I21" s="467"/>
      <c r="J21" s="487">
        <f t="shared" si="1"/>
        <v>550809.99999999988</v>
      </c>
    </row>
    <row r="22" spans="2:11" ht="102">
      <c r="B22" s="462" t="s">
        <v>188</v>
      </c>
      <c r="C22" s="471" t="s">
        <v>189</v>
      </c>
      <c r="D22" s="464" t="s">
        <v>183</v>
      </c>
      <c r="E22" s="472">
        <v>59.417000000000002</v>
      </c>
      <c r="F22" s="473">
        <v>35000</v>
      </c>
      <c r="G22" s="466">
        <f t="shared" si="2"/>
        <v>2079595</v>
      </c>
      <c r="H22" s="467"/>
      <c r="I22" s="467" t="s">
        <v>190</v>
      </c>
      <c r="K22" s="487">
        <f>G22</f>
        <v>2079595</v>
      </c>
    </row>
    <row r="23" spans="2:11" ht="17">
      <c r="B23" s="462" t="s">
        <v>191</v>
      </c>
      <c r="C23" s="468" t="s">
        <v>192</v>
      </c>
      <c r="D23" s="464"/>
      <c r="E23" s="472"/>
      <c r="F23" s="473"/>
      <c r="G23" s="466">
        <f t="shared" si="2"/>
        <v>0</v>
      </c>
      <c r="H23" s="467"/>
      <c r="I23" s="467"/>
    </row>
    <row r="24" spans="2:11" ht="17">
      <c r="B24" s="462" t="s">
        <v>193</v>
      </c>
      <c r="C24" s="468" t="s">
        <v>194</v>
      </c>
      <c r="D24" s="464" t="s">
        <v>173</v>
      </c>
      <c r="E24" s="472">
        <v>44</v>
      </c>
      <c r="F24" s="473">
        <v>500</v>
      </c>
      <c r="G24" s="466">
        <f t="shared" si="2"/>
        <v>22000</v>
      </c>
      <c r="H24" s="467"/>
      <c r="I24" s="467"/>
      <c r="J24" s="487">
        <f t="shared" ref="J24:J40" si="3">G24</f>
        <v>22000</v>
      </c>
    </row>
    <row r="25" spans="2:11" ht="17">
      <c r="B25" s="462" t="s">
        <v>195</v>
      </c>
      <c r="C25" s="468" t="s">
        <v>196</v>
      </c>
      <c r="D25" s="464" t="s">
        <v>173</v>
      </c>
      <c r="E25" s="472">
        <v>10</v>
      </c>
      <c r="F25" s="473">
        <v>2000</v>
      </c>
      <c r="G25" s="466">
        <f t="shared" si="2"/>
        <v>20000</v>
      </c>
      <c r="H25" s="467"/>
      <c r="I25" s="467"/>
      <c r="J25" s="487">
        <f t="shared" si="3"/>
        <v>20000</v>
      </c>
    </row>
    <row r="26" spans="2:11" ht="17">
      <c r="B26" s="462" t="s">
        <v>197</v>
      </c>
      <c r="C26" s="468" t="s">
        <v>198</v>
      </c>
      <c r="D26" s="464" t="s">
        <v>173</v>
      </c>
      <c r="E26" s="472">
        <v>18</v>
      </c>
      <c r="F26" s="473">
        <v>3500</v>
      </c>
      <c r="G26" s="466">
        <f t="shared" si="2"/>
        <v>63000</v>
      </c>
      <c r="H26" s="467"/>
      <c r="I26" s="467"/>
      <c r="J26" s="487">
        <f t="shared" si="3"/>
        <v>63000</v>
      </c>
    </row>
    <row r="27" spans="2:11" ht="17">
      <c r="B27" s="462" t="s">
        <v>199</v>
      </c>
      <c r="C27" s="468" t="s">
        <v>200</v>
      </c>
      <c r="D27" s="464" t="s">
        <v>173</v>
      </c>
      <c r="E27" s="465">
        <v>4</v>
      </c>
      <c r="F27" s="466">
        <v>10000</v>
      </c>
      <c r="G27" s="466">
        <f t="shared" si="2"/>
        <v>40000</v>
      </c>
      <c r="H27" s="467"/>
      <c r="I27" s="467"/>
      <c r="J27" s="487">
        <f t="shared" si="3"/>
        <v>40000</v>
      </c>
    </row>
    <row r="28" spans="2:11" ht="17">
      <c r="B28" s="462" t="s">
        <v>201</v>
      </c>
      <c r="C28" s="468" t="s">
        <v>202</v>
      </c>
      <c r="D28" s="464" t="s">
        <v>173</v>
      </c>
      <c r="E28" s="465">
        <v>4</v>
      </c>
      <c r="F28" s="466">
        <v>10000</v>
      </c>
      <c r="G28" s="466">
        <f t="shared" si="2"/>
        <v>40000</v>
      </c>
      <c r="H28" s="467"/>
      <c r="I28" s="467"/>
      <c r="J28" s="487">
        <f t="shared" si="3"/>
        <v>40000</v>
      </c>
    </row>
    <row r="29" spans="2:11" ht="17">
      <c r="B29" s="462" t="s">
        <v>203</v>
      </c>
      <c r="C29" s="468" t="s">
        <v>204</v>
      </c>
      <c r="D29" s="464" t="s">
        <v>173</v>
      </c>
      <c r="E29" s="465">
        <v>2</v>
      </c>
      <c r="F29" s="466">
        <v>50000</v>
      </c>
      <c r="G29" s="466">
        <f t="shared" si="2"/>
        <v>100000</v>
      </c>
      <c r="H29" s="467"/>
      <c r="I29" s="467"/>
      <c r="J29" s="487">
        <f t="shared" si="3"/>
        <v>100000</v>
      </c>
    </row>
    <row r="30" spans="2:11" ht="17">
      <c r="B30" s="462" t="s">
        <v>205</v>
      </c>
      <c r="C30" s="468" t="s">
        <v>206</v>
      </c>
      <c r="D30" s="464" t="s">
        <v>207</v>
      </c>
      <c r="E30" s="465">
        <v>60.425000000000004</v>
      </c>
      <c r="F30" s="466">
        <v>6500</v>
      </c>
      <c r="G30" s="466">
        <f t="shared" si="2"/>
        <v>392762.5</v>
      </c>
      <c r="H30" s="467"/>
      <c r="I30" s="467"/>
      <c r="J30" s="487">
        <f t="shared" si="3"/>
        <v>392762.5</v>
      </c>
    </row>
    <row r="31" spans="2:11" ht="17">
      <c r="B31" s="462" t="s">
        <v>208</v>
      </c>
      <c r="C31" s="468" t="s">
        <v>209</v>
      </c>
      <c r="D31" s="464" t="s">
        <v>173</v>
      </c>
      <c r="E31" s="465">
        <v>2</v>
      </c>
      <c r="F31" s="466">
        <v>1000</v>
      </c>
      <c r="G31" s="466">
        <f t="shared" si="2"/>
        <v>2000</v>
      </c>
      <c r="H31" s="467"/>
      <c r="I31" s="467"/>
      <c r="J31" s="487">
        <f t="shared" si="3"/>
        <v>2000</v>
      </c>
    </row>
    <row r="32" spans="2:11" ht="17">
      <c r="B32" s="462" t="s">
        <v>210</v>
      </c>
      <c r="C32" s="468" t="s">
        <v>211</v>
      </c>
      <c r="D32" s="464" t="s">
        <v>173</v>
      </c>
      <c r="E32" s="465">
        <v>11</v>
      </c>
      <c r="F32" s="466">
        <v>10000</v>
      </c>
      <c r="G32" s="466">
        <f t="shared" si="2"/>
        <v>110000</v>
      </c>
      <c r="H32" s="467"/>
      <c r="I32" s="467"/>
      <c r="J32" s="487">
        <f t="shared" si="3"/>
        <v>110000</v>
      </c>
    </row>
    <row r="33" spans="2:14" ht="17">
      <c r="B33" s="462" t="s">
        <v>212</v>
      </c>
      <c r="C33" s="468" t="s">
        <v>213</v>
      </c>
      <c r="D33" s="464" t="s">
        <v>214</v>
      </c>
      <c r="E33" s="465">
        <v>12</v>
      </c>
      <c r="F33" s="466">
        <v>500000</v>
      </c>
      <c r="G33" s="466">
        <f t="shared" si="2"/>
        <v>6000000</v>
      </c>
      <c r="H33" s="467"/>
      <c r="I33" s="467"/>
      <c r="J33" s="487">
        <f t="shared" si="3"/>
        <v>6000000</v>
      </c>
    </row>
    <row r="34" spans="2:14" ht="17">
      <c r="B34" s="462" t="s">
        <v>215</v>
      </c>
      <c r="C34" s="468" t="s">
        <v>216</v>
      </c>
      <c r="D34" s="464" t="s">
        <v>214</v>
      </c>
      <c r="E34" s="465">
        <v>48</v>
      </c>
      <c r="F34" s="466">
        <v>10000</v>
      </c>
      <c r="G34" s="466">
        <f t="shared" si="2"/>
        <v>480000</v>
      </c>
      <c r="H34" s="467"/>
      <c r="I34" s="467"/>
      <c r="J34" s="487">
        <f t="shared" si="3"/>
        <v>480000</v>
      </c>
    </row>
    <row r="35" spans="2:14" ht="17">
      <c r="B35" s="462" t="s">
        <v>217</v>
      </c>
      <c r="C35" s="468" t="s">
        <v>218</v>
      </c>
      <c r="D35" s="464" t="s">
        <v>219</v>
      </c>
      <c r="E35" s="465">
        <v>2</v>
      </c>
      <c r="F35" s="466">
        <v>118000</v>
      </c>
      <c r="G35" s="466">
        <f t="shared" si="2"/>
        <v>236000</v>
      </c>
      <c r="H35" s="467"/>
      <c r="I35" s="467"/>
      <c r="J35" s="487">
        <f t="shared" si="3"/>
        <v>236000</v>
      </c>
    </row>
    <row r="36" spans="2:14" ht="17">
      <c r="B36" s="462" t="s">
        <v>220</v>
      </c>
      <c r="C36" s="468" t="s">
        <v>221</v>
      </c>
      <c r="D36" s="464" t="s">
        <v>214</v>
      </c>
      <c r="E36" s="465">
        <v>1</v>
      </c>
      <c r="F36" s="466">
        <v>189051</v>
      </c>
      <c r="G36" s="466">
        <f t="shared" si="2"/>
        <v>189051</v>
      </c>
      <c r="H36" s="467"/>
      <c r="I36" s="467"/>
      <c r="J36" s="487">
        <f t="shared" si="3"/>
        <v>189051</v>
      </c>
    </row>
    <row r="37" spans="2:14" ht="17">
      <c r="B37" s="462" t="s">
        <v>222</v>
      </c>
      <c r="C37" s="468" t="s">
        <v>223</v>
      </c>
      <c r="D37" s="464" t="s">
        <v>224</v>
      </c>
      <c r="E37" s="465">
        <v>1</v>
      </c>
      <c r="F37" s="466">
        <v>30000</v>
      </c>
      <c r="G37" s="466">
        <f t="shared" si="2"/>
        <v>30000</v>
      </c>
      <c r="H37" s="467"/>
      <c r="I37" s="467"/>
      <c r="J37" s="487">
        <f t="shared" si="3"/>
        <v>30000</v>
      </c>
    </row>
    <row r="38" spans="2:14" ht="34">
      <c r="B38" s="462" t="s">
        <v>225</v>
      </c>
      <c r="C38" s="468" t="s">
        <v>226</v>
      </c>
      <c r="D38" s="464" t="s">
        <v>224</v>
      </c>
      <c r="E38" s="465">
        <v>1</v>
      </c>
      <c r="F38" s="466">
        <f>(137508*2)+282874</f>
        <v>557890</v>
      </c>
      <c r="G38" s="466">
        <f t="shared" si="2"/>
        <v>557890</v>
      </c>
      <c r="H38" s="467"/>
      <c r="I38" s="467" t="s">
        <v>227</v>
      </c>
      <c r="J38" s="487">
        <f t="shared" si="3"/>
        <v>557890</v>
      </c>
    </row>
    <row r="39" spans="2:14" ht="17">
      <c r="B39" s="462" t="s">
        <v>228</v>
      </c>
      <c r="C39" s="468" t="s">
        <v>229</v>
      </c>
      <c r="D39" s="464" t="s">
        <v>224</v>
      </c>
      <c r="E39" s="465">
        <v>1</v>
      </c>
      <c r="F39" s="466">
        <v>30000</v>
      </c>
      <c r="G39" s="466">
        <f t="shared" si="2"/>
        <v>30000</v>
      </c>
      <c r="H39" s="467"/>
      <c r="I39" s="467" t="s">
        <v>230</v>
      </c>
      <c r="J39" s="487">
        <f t="shared" si="3"/>
        <v>30000</v>
      </c>
    </row>
    <row r="40" spans="2:14" ht="17">
      <c r="B40" s="462"/>
      <c r="C40" s="468" t="s">
        <v>231</v>
      </c>
      <c r="D40" s="464" t="s">
        <v>232</v>
      </c>
      <c r="E40" s="465">
        <v>100</v>
      </c>
      <c r="F40" s="466">
        <v>3353</v>
      </c>
      <c r="G40" s="466">
        <f t="shared" si="2"/>
        <v>335300</v>
      </c>
      <c r="H40" s="467"/>
      <c r="I40" s="467" t="s">
        <v>233</v>
      </c>
      <c r="J40" s="487">
        <f t="shared" si="3"/>
        <v>335300</v>
      </c>
    </row>
    <row r="41" spans="2:14" ht="16">
      <c r="B41" s="462"/>
      <c r="C41" s="468"/>
      <c r="D41" s="464"/>
      <c r="E41" s="465"/>
      <c r="F41" s="466"/>
      <c r="G41" s="466"/>
      <c r="H41" s="467"/>
      <c r="I41" s="467"/>
    </row>
    <row r="42" spans="2:14" ht="16">
      <c r="B42" s="462"/>
      <c r="C42" s="468"/>
      <c r="D42" s="464"/>
      <c r="E42" s="465"/>
      <c r="F42" s="466"/>
      <c r="G42" s="466"/>
      <c r="H42" s="467"/>
      <c r="I42" s="467"/>
    </row>
    <row r="43" spans="2:14" ht="16">
      <c r="B43" s="455" t="s">
        <v>234</v>
      </c>
      <c r="C43" s="456" t="s">
        <v>235</v>
      </c>
      <c r="D43" s="457"/>
      <c r="E43" s="458"/>
      <c r="F43" s="459"/>
      <c r="G43" s="460"/>
      <c r="H43" s="461"/>
      <c r="I43" s="461"/>
    </row>
    <row r="44" spans="2:14" ht="51">
      <c r="B44" s="462" t="s">
        <v>236</v>
      </c>
      <c r="C44" s="468" t="s">
        <v>237</v>
      </c>
      <c r="D44" s="464" t="s">
        <v>207</v>
      </c>
      <c r="E44" s="465">
        <v>210.20999999999998</v>
      </c>
      <c r="F44" s="466">
        <v>22253.873</v>
      </c>
      <c r="G44" s="466">
        <f t="shared" ref="G44:G82" si="4">E44*F44</f>
        <v>4677986.6433299994</v>
      </c>
      <c r="H44" s="467"/>
      <c r="I44" s="467"/>
      <c r="J44" s="487">
        <f>G44</f>
        <v>4677986.6433299994</v>
      </c>
    </row>
    <row r="45" spans="2:14" ht="34">
      <c r="B45" s="462" t="s">
        <v>238</v>
      </c>
      <c r="C45" s="463" t="s">
        <v>239</v>
      </c>
      <c r="D45" s="464" t="s">
        <v>207</v>
      </c>
      <c r="E45" s="465">
        <v>88.97699999999999</v>
      </c>
      <c r="F45" s="466">
        <v>30545.004000000001</v>
      </c>
      <c r="G45" s="466">
        <f t="shared" si="4"/>
        <v>2717802.8209079998</v>
      </c>
      <c r="H45" s="467"/>
      <c r="I45" s="467"/>
      <c r="M45" s="487">
        <f>G45</f>
        <v>2717802.8209079998</v>
      </c>
    </row>
    <row r="46" spans="2:14" ht="51">
      <c r="B46" s="462" t="s">
        <v>240</v>
      </c>
      <c r="C46" s="463" t="s">
        <v>241</v>
      </c>
      <c r="D46" s="464" t="s">
        <v>207</v>
      </c>
      <c r="E46" s="465">
        <v>194.07500000000002</v>
      </c>
      <c r="F46" s="466">
        <v>24437.042000000001</v>
      </c>
      <c r="G46" s="466">
        <f t="shared" si="4"/>
        <v>4742618.9261500007</v>
      </c>
      <c r="H46" s="467"/>
      <c r="I46" s="467"/>
      <c r="M46" s="487">
        <f>G46</f>
        <v>4742618.9261500007</v>
      </c>
    </row>
    <row r="47" spans="2:14" ht="34">
      <c r="B47" s="462" t="s">
        <v>242</v>
      </c>
      <c r="C47" s="463" t="s">
        <v>243</v>
      </c>
      <c r="D47" s="464" t="s">
        <v>232</v>
      </c>
      <c r="E47" s="465">
        <v>132.5</v>
      </c>
      <c r="F47" s="466">
        <v>2580.08</v>
      </c>
      <c r="G47" s="466">
        <f t="shared" si="4"/>
        <v>341860.6</v>
      </c>
      <c r="H47" s="467"/>
      <c r="I47" s="467"/>
      <c r="M47" s="487">
        <f>G47</f>
        <v>341860.6</v>
      </c>
    </row>
    <row r="48" spans="2:14" ht="85">
      <c r="B48" s="462" t="s">
        <v>244</v>
      </c>
      <c r="C48" s="463" t="s">
        <v>245</v>
      </c>
      <c r="D48" s="464" t="s">
        <v>173</v>
      </c>
      <c r="E48" s="465">
        <v>10</v>
      </c>
      <c r="F48" s="466">
        <v>125143</v>
      </c>
      <c r="G48" s="466">
        <f t="shared" si="4"/>
        <v>1251430</v>
      </c>
      <c r="H48" s="467" t="s">
        <v>246</v>
      </c>
      <c r="I48" s="467"/>
      <c r="N48" s="487">
        <f>G48</f>
        <v>1251430</v>
      </c>
    </row>
    <row r="49" spans="2:15" ht="51">
      <c r="B49" s="462" t="s">
        <v>247</v>
      </c>
      <c r="C49" s="463" t="s">
        <v>248</v>
      </c>
      <c r="D49" s="464" t="s">
        <v>173</v>
      </c>
      <c r="E49" s="465">
        <v>3</v>
      </c>
      <c r="F49" s="466">
        <v>160748</v>
      </c>
      <c r="G49" s="466">
        <f t="shared" si="4"/>
        <v>482244</v>
      </c>
      <c r="H49" s="467"/>
      <c r="I49" s="467"/>
      <c r="N49" s="487">
        <f>G49</f>
        <v>482244</v>
      </c>
    </row>
    <row r="50" spans="2:15" ht="34">
      <c r="B50" s="462" t="s">
        <v>249</v>
      </c>
      <c r="C50" s="463" t="s">
        <v>250</v>
      </c>
      <c r="D50" s="464" t="s">
        <v>173</v>
      </c>
      <c r="E50" s="465"/>
      <c r="F50" s="466"/>
      <c r="G50" s="466">
        <f t="shared" si="4"/>
        <v>0</v>
      </c>
      <c r="H50" s="467" t="s">
        <v>251</v>
      </c>
      <c r="I50" s="467"/>
    </row>
    <row r="51" spans="2:15" ht="17">
      <c r="B51" s="462" t="s">
        <v>252</v>
      </c>
      <c r="C51" s="468" t="s">
        <v>253</v>
      </c>
      <c r="D51" s="464" t="s">
        <v>173</v>
      </c>
      <c r="E51" s="472">
        <v>5</v>
      </c>
      <c r="F51" s="466">
        <v>200000</v>
      </c>
      <c r="G51" s="466">
        <f t="shared" si="4"/>
        <v>1000000</v>
      </c>
      <c r="H51" s="467"/>
      <c r="I51" s="467"/>
      <c r="J51" s="487">
        <f>G51</f>
        <v>1000000</v>
      </c>
    </row>
    <row r="52" spans="2:15" ht="34">
      <c r="B52" s="462" t="s">
        <v>254</v>
      </c>
      <c r="C52" s="468" t="s">
        <v>255</v>
      </c>
      <c r="D52" s="464" t="s">
        <v>173</v>
      </c>
      <c r="E52" s="472">
        <v>9</v>
      </c>
      <c r="F52" s="466">
        <v>243942</v>
      </c>
      <c r="G52" s="466">
        <f t="shared" si="4"/>
        <v>2195478</v>
      </c>
      <c r="H52" s="467"/>
      <c r="I52" s="467"/>
      <c r="N52" s="487">
        <f t="shared" ref="N52:N57" si="5">G52</f>
        <v>2195478</v>
      </c>
    </row>
    <row r="53" spans="2:15" ht="34">
      <c r="B53" s="462" t="s">
        <v>256</v>
      </c>
      <c r="C53" s="468" t="s">
        <v>257</v>
      </c>
      <c r="D53" s="464" t="s">
        <v>173</v>
      </c>
      <c r="E53" s="472"/>
      <c r="F53" s="466"/>
      <c r="G53" s="466">
        <f t="shared" si="4"/>
        <v>0</v>
      </c>
      <c r="H53" s="467" t="s">
        <v>258</v>
      </c>
      <c r="I53" s="467"/>
      <c r="N53" s="487">
        <f t="shared" si="5"/>
        <v>0</v>
      </c>
    </row>
    <row r="54" spans="2:15" ht="34">
      <c r="B54" s="462" t="s">
        <v>259</v>
      </c>
      <c r="C54" s="468" t="s">
        <v>260</v>
      </c>
      <c r="D54" s="464" t="s">
        <v>173</v>
      </c>
      <c r="E54" s="472">
        <v>10</v>
      </c>
      <c r="F54" s="466">
        <v>28617</v>
      </c>
      <c r="G54" s="466">
        <f t="shared" si="4"/>
        <v>286170</v>
      </c>
      <c r="H54" s="467"/>
      <c r="I54" s="467"/>
      <c r="J54" s="487">
        <f>G54</f>
        <v>286170</v>
      </c>
    </row>
    <row r="55" spans="2:15" ht="17">
      <c r="B55" s="462" t="s">
        <v>261</v>
      </c>
      <c r="C55" s="468" t="s">
        <v>262</v>
      </c>
      <c r="D55" s="464" t="s">
        <v>173</v>
      </c>
      <c r="E55" s="472">
        <v>9</v>
      </c>
      <c r="F55" s="466">
        <v>33709</v>
      </c>
      <c r="G55" s="466">
        <f t="shared" si="4"/>
        <v>303381</v>
      </c>
      <c r="H55" s="467"/>
      <c r="I55" s="467"/>
      <c r="J55" s="487">
        <f>G55</f>
        <v>303381</v>
      </c>
    </row>
    <row r="56" spans="2:15" ht="17">
      <c r="B56" s="462" t="s">
        <v>263</v>
      </c>
      <c r="C56" s="463" t="s">
        <v>264</v>
      </c>
      <c r="D56" s="464" t="s">
        <v>173</v>
      </c>
      <c r="E56" s="472">
        <v>2</v>
      </c>
      <c r="F56" s="466">
        <v>200916</v>
      </c>
      <c r="G56" s="466">
        <f t="shared" si="4"/>
        <v>401832</v>
      </c>
      <c r="H56" s="467"/>
      <c r="I56" s="467"/>
      <c r="J56" s="487">
        <f>G56</f>
        <v>401832</v>
      </c>
    </row>
    <row r="57" spans="2:15" ht="34">
      <c r="B57" s="462" t="s">
        <v>265</v>
      </c>
      <c r="C57" s="463" t="s">
        <v>266</v>
      </c>
      <c r="D57" s="464" t="s">
        <v>173</v>
      </c>
      <c r="E57" s="472">
        <v>10</v>
      </c>
      <c r="F57" s="466">
        <v>247118</v>
      </c>
      <c r="G57" s="466">
        <f t="shared" si="4"/>
        <v>2471180</v>
      </c>
      <c r="H57" s="467"/>
      <c r="I57" s="467"/>
      <c r="N57" s="487">
        <f t="shared" si="5"/>
        <v>2471180</v>
      </c>
    </row>
    <row r="58" spans="2:15" ht="34">
      <c r="B58" s="462" t="s">
        <v>267</v>
      </c>
      <c r="C58" s="471" t="s">
        <v>268</v>
      </c>
      <c r="D58" s="464" t="s">
        <v>173</v>
      </c>
      <c r="E58" s="472"/>
      <c r="F58" s="466"/>
      <c r="G58" s="466">
        <f t="shared" si="4"/>
        <v>0</v>
      </c>
      <c r="H58" s="467" t="s">
        <v>269</v>
      </c>
      <c r="I58" s="467"/>
    </row>
    <row r="59" spans="2:15" ht="16">
      <c r="B59" s="462" t="s">
        <v>270</v>
      </c>
      <c r="C59" s="471" t="s">
        <v>271</v>
      </c>
      <c r="D59" s="464" t="s">
        <v>173</v>
      </c>
      <c r="E59" s="472">
        <v>9</v>
      </c>
      <c r="F59" s="466">
        <v>12906</v>
      </c>
      <c r="G59" s="466">
        <f t="shared" si="4"/>
        <v>116154</v>
      </c>
      <c r="H59" s="467"/>
      <c r="I59" s="467"/>
      <c r="J59" s="487">
        <f>G59</f>
        <v>116154</v>
      </c>
    </row>
    <row r="60" spans="2:15" ht="16">
      <c r="B60" s="462" t="s">
        <v>272</v>
      </c>
      <c r="C60" s="471" t="s">
        <v>273</v>
      </c>
      <c r="D60" s="464" t="s">
        <v>173</v>
      </c>
      <c r="E60" s="472">
        <v>10</v>
      </c>
      <c r="F60" s="466">
        <v>13084</v>
      </c>
      <c r="G60" s="466">
        <f t="shared" si="4"/>
        <v>130840</v>
      </c>
      <c r="H60" s="467"/>
      <c r="I60" s="467"/>
      <c r="J60" s="487">
        <f>G60</f>
        <v>130840</v>
      </c>
    </row>
    <row r="61" spans="2:15" ht="16">
      <c r="B61" s="462" t="s">
        <v>274</v>
      </c>
      <c r="C61" s="471" t="s">
        <v>275</v>
      </c>
      <c r="D61" s="464" t="s">
        <v>207</v>
      </c>
      <c r="E61" s="465">
        <v>6.48</v>
      </c>
      <c r="F61" s="466">
        <v>80000</v>
      </c>
      <c r="G61" s="466">
        <f t="shared" si="4"/>
        <v>518400.00000000006</v>
      </c>
      <c r="H61" s="467"/>
      <c r="I61" s="467"/>
      <c r="L61" s="487">
        <f>G61</f>
        <v>518400.00000000006</v>
      </c>
    </row>
    <row r="62" spans="2:15" ht="102">
      <c r="B62" s="462" t="s">
        <v>276</v>
      </c>
      <c r="C62" s="463" t="s">
        <v>277</v>
      </c>
      <c r="D62" s="464" t="s">
        <v>207</v>
      </c>
      <c r="E62" s="465">
        <v>28.54</v>
      </c>
      <c r="F62" s="466">
        <v>182953</v>
      </c>
      <c r="G62" s="466">
        <f t="shared" si="4"/>
        <v>5221478.62</v>
      </c>
      <c r="H62" s="467"/>
      <c r="I62" s="467"/>
      <c r="O62" s="487">
        <f>G62</f>
        <v>5221478.62</v>
      </c>
    </row>
    <row r="63" spans="2:15" ht="17">
      <c r="B63" s="462" t="s">
        <v>278</v>
      </c>
      <c r="C63" s="463" t="s">
        <v>279</v>
      </c>
      <c r="D63" s="464" t="s">
        <v>161</v>
      </c>
      <c r="E63" s="465"/>
      <c r="F63" s="466"/>
      <c r="G63" s="466">
        <f t="shared" si="4"/>
        <v>0</v>
      </c>
      <c r="H63" s="467" t="s">
        <v>280</v>
      </c>
      <c r="I63" s="467"/>
    </row>
    <row r="64" spans="2:15" ht="17">
      <c r="B64" s="462" t="s">
        <v>281</v>
      </c>
      <c r="C64" s="468" t="s">
        <v>282</v>
      </c>
      <c r="D64" s="464" t="s">
        <v>161</v>
      </c>
      <c r="E64" s="465"/>
      <c r="F64" s="466"/>
      <c r="G64" s="466">
        <f t="shared" si="4"/>
        <v>0</v>
      </c>
      <c r="H64" s="467" t="s">
        <v>280</v>
      </c>
      <c r="I64" s="467"/>
    </row>
    <row r="65" spans="2:16" ht="17">
      <c r="B65" s="462" t="s">
        <v>283</v>
      </c>
      <c r="C65" s="468" t="s">
        <v>284</v>
      </c>
      <c r="D65" s="464" t="s">
        <v>161</v>
      </c>
      <c r="E65" s="465">
        <v>1</v>
      </c>
      <c r="F65" s="466">
        <v>250000</v>
      </c>
      <c r="G65" s="466">
        <f t="shared" si="4"/>
        <v>250000</v>
      </c>
      <c r="H65" s="467"/>
      <c r="I65" s="467"/>
      <c r="J65" s="487">
        <f>G65</f>
        <v>250000</v>
      </c>
    </row>
    <row r="66" spans="2:16" ht="17">
      <c r="B66" s="462" t="s">
        <v>285</v>
      </c>
      <c r="C66" s="468" t="s">
        <v>286</v>
      </c>
      <c r="D66" s="464" t="s">
        <v>232</v>
      </c>
      <c r="E66" s="465"/>
      <c r="F66" s="466"/>
      <c r="G66" s="466">
        <f t="shared" si="4"/>
        <v>0</v>
      </c>
      <c r="H66" s="467"/>
      <c r="I66" s="467"/>
    </row>
    <row r="67" spans="2:16" ht="42">
      <c r="B67" s="462" t="s">
        <v>287</v>
      </c>
      <c r="C67" s="474" t="s">
        <v>288</v>
      </c>
      <c r="D67" s="464" t="s">
        <v>173</v>
      </c>
      <c r="E67" s="472">
        <v>2</v>
      </c>
      <c r="F67" s="473">
        <v>477974.2</v>
      </c>
      <c r="G67" s="473">
        <f t="shared" si="4"/>
        <v>955948.4</v>
      </c>
      <c r="H67" s="475"/>
      <c r="I67" s="475"/>
      <c r="P67" s="487">
        <f>G67</f>
        <v>955948.4</v>
      </c>
    </row>
    <row r="68" spans="2:16" ht="34">
      <c r="B68" s="462" t="s">
        <v>289</v>
      </c>
      <c r="C68" s="468" t="s">
        <v>290</v>
      </c>
      <c r="D68" s="464" t="s">
        <v>173</v>
      </c>
      <c r="E68" s="472"/>
      <c r="F68" s="473"/>
      <c r="G68" s="473">
        <f t="shared" si="4"/>
        <v>0</v>
      </c>
      <c r="H68" s="475" t="s">
        <v>291</v>
      </c>
      <c r="I68" s="475"/>
    </row>
    <row r="69" spans="2:16" ht="34">
      <c r="B69" s="462" t="s">
        <v>292</v>
      </c>
      <c r="C69" s="468" t="s">
        <v>293</v>
      </c>
      <c r="D69" s="464" t="s">
        <v>173</v>
      </c>
      <c r="E69" s="472"/>
      <c r="F69" s="473"/>
      <c r="G69" s="473">
        <f t="shared" si="4"/>
        <v>0</v>
      </c>
      <c r="H69" s="475" t="s">
        <v>291</v>
      </c>
      <c r="I69" s="475"/>
    </row>
    <row r="70" spans="2:16" ht="17">
      <c r="B70" s="462" t="s">
        <v>294</v>
      </c>
      <c r="C70" s="468" t="s">
        <v>192</v>
      </c>
      <c r="D70" s="464"/>
      <c r="E70" s="472"/>
      <c r="F70" s="473"/>
      <c r="G70" s="473">
        <f t="shared" si="4"/>
        <v>0</v>
      </c>
      <c r="H70" s="475"/>
      <c r="I70" s="475"/>
    </row>
    <row r="71" spans="2:16" ht="17">
      <c r="B71" s="462" t="s">
        <v>295</v>
      </c>
      <c r="C71" s="468" t="s">
        <v>296</v>
      </c>
      <c r="D71" s="464" t="s">
        <v>232</v>
      </c>
      <c r="E71" s="472">
        <v>10.64</v>
      </c>
      <c r="F71" s="473">
        <v>250000</v>
      </c>
      <c r="G71" s="473">
        <f t="shared" si="4"/>
        <v>2660000</v>
      </c>
      <c r="H71" s="475"/>
      <c r="I71" s="475"/>
      <c r="P71" s="487">
        <f>G71</f>
        <v>2660000</v>
      </c>
    </row>
    <row r="72" spans="2:16" ht="17">
      <c r="B72" s="462" t="s">
        <v>297</v>
      </c>
      <c r="C72" s="468" t="s">
        <v>298</v>
      </c>
      <c r="D72" s="464" t="s">
        <v>232</v>
      </c>
      <c r="E72" s="472">
        <v>9.1</v>
      </c>
      <c r="F72" s="473">
        <v>80527</v>
      </c>
      <c r="G72" s="473">
        <f t="shared" si="4"/>
        <v>732795.7</v>
      </c>
      <c r="H72" s="475"/>
      <c r="I72" s="475"/>
      <c r="N72" s="487">
        <f>G72</f>
        <v>732795.7</v>
      </c>
    </row>
    <row r="73" spans="2:16" ht="17">
      <c r="B73" s="462" t="s">
        <v>299</v>
      </c>
      <c r="C73" s="468" t="s">
        <v>300</v>
      </c>
      <c r="D73" s="464" t="s">
        <v>301</v>
      </c>
      <c r="E73" s="472">
        <v>216.09332930673898</v>
      </c>
      <c r="F73" s="473">
        <v>4900</v>
      </c>
      <c r="G73" s="473">
        <f t="shared" si="4"/>
        <v>1058857.313603021</v>
      </c>
      <c r="H73" s="475"/>
      <c r="I73" s="475"/>
      <c r="J73" s="487">
        <f>G73</f>
        <v>1058857.313603021</v>
      </c>
    </row>
    <row r="74" spans="2:16" ht="17">
      <c r="B74" s="462" t="s">
        <v>302</v>
      </c>
      <c r="C74" s="468" t="s">
        <v>303</v>
      </c>
      <c r="D74" s="464" t="s">
        <v>173</v>
      </c>
      <c r="E74" s="465">
        <v>1</v>
      </c>
      <c r="F74" s="466">
        <v>1230000</v>
      </c>
      <c r="G74" s="466">
        <f t="shared" si="4"/>
        <v>1230000</v>
      </c>
      <c r="H74" s="467"/>
      <c r="I74" s="467"/>
      <c r="J74" s="487">
        <f>G74</f>
        <v>1230000</v>
      </c>
    </row>
    <row r="75" spans="2:16" ht="17">
      <c r="B75" s="462" t="s">
        <v>304</v>
      </c>
      <c r="C75" s="468" t="s">
        <v>305</v>
      </c>
      <c r="D75" s="464" t="s">
        <v>173</v>
      </c>
      <c r="E75" s="465">
        <v>16</v>
      </c>
      <c r="F75" s="466">
        <v>29500</v>
      </c>
      <c r="G75" s="466">
        <f t="shared" si="4"/>
        <v>472000</v>
      </c>
      <c r="H75" s="467"/>
      <c r="I75" s="467"/>
      <c r="J75" s="487">
        <f>G75</f>
        <v>472000</v>
      </c>
    </row>
    <row r="76" spans="2:16" ht="17">
      <c r="B76" s="462" t="s">
        <v>306</v>
      </c>
      <c r="C76" s="468" t="s">
        <v>307</v>
      </c>
      <c r="D76" s="464" t="s">
        <v>173</v>
      </c>
      <c r="E76" s="465">
        <v>10</v>
      </c>
      <c r="F76" s="466">
        <v>8000</v>
      </c>
      <c r="G76" s="466">
        <f t="shared" si="4"/>
        <v>80000</v>
      </c>
      <c r="H76" s="467"/>
      <c r="I76" s="467"/>
      <c r="J76" s="487">
        <f>G76</f>
        <v>80000</v>
      </c>
    </row>
    <row r="77" spans="2:16" ht="17">
      <c r="B77" s="462" t="s">
        <v>308</v>
      </c>
      <c r="C77" s="468" t="s">
        <v>309</v>
      </c>
      <c r="D77" s="464" t="s">
        <v>173</v>
      </c>
      <c r="E77" s="465">
        <v>10</v>
      </c>
      <c r="F77" s="466">
        <v>13020</v>
      </c>
      <c r="G77" s="466">
        <f t="shared" si="4"/>
        <v>130200</v>
      </c>
      <c r="H77" s="467"/>
      <c r="I77" s="467"/>
      <c r="N77" s="487">
        <f>G77</f>
        <v>130200</v>
      </c>
    </row>
    <row r="78" spans="2:16" ht="17">
      <c r="B78" s="462" t="s">
        <v>310</v>
      </c>
      <c r="C78" s="468" t="s">
        <v>311</v>
      </c>
      <c r="D78" s="464" t="s">
        <v>173</v>
      </c>
      <c r="E78" s="465">
        <v>3</v>
      </c>
      <c r="F78" s="473">
        <v>250000</v>
      </c>
      <c r="G78" s="466">
        <f t="shared" si="4"/>
        <v>750000</v>
      </c>
      <c r="H78" s="467"/>
      <c r="I78" s="467"/>
      <c r="P78" s="487">
        <f>G78</f>
        <v>750000</v>
      </c>
    </row>
    <row r="79" spans="2:16" ht="17">
      <c r="B79" s="462" t="s">
        <v>312</v>
      </c>
      <c r="C79" s="468" t="s">
        <v>313</v>
      </c>
      <c r="D79" s="464" t="s">
        <v>173</v>
      </c>
      <c r="E79" s="465">
        <v>1</v>
      </c>
      <c r="F79" s="473">
        <v>350000</v>
      </c>
      <c r="G79" s="466">
        <f t="shared" si="4"/>
        <v>350000</v>
      </c>
      <c r="H79" s="467"/>
      <c r="I79" s="467"/>
      <c r="P79" s="487">
        <f>G79</f>
        <v>350000</v>
      </c>
    </row>
    <row r="80" spans="2:16" ht="17">
      <c r="B80" s="462" t="s">
        <v>314</v>
      </c>
      <c r="C80" s="468" t="s">
        <v>315</v>
      </c>
      <c r="D80" s="464" t="s">
        <v>173</v>
      </c>
      <c r="E80" s="465">
        <v>1</v>
      </c>
      <c r="F80" s="473">
        <v>150000</v>
      </c>
      <c r="G80" s="466">
        <f t="shared" si="4"/>
        <v>150000</v>
      </c>
      <c r="H80" s="467"/>
      <c r="I80" s="467"/>
      <c r="P80" s="487">
        <f>G80</f>
        <v>150000</v>
      </c>
    </row>
    <row r="81" spans="2:14" ht="17">
      <c r="B81" s="462" t="s">
        <v>316</v>
      </c>
      <c r="C81" s="468" t="s">
        <v>317</v>
      </c>
      <c r="D81" s="464" t="s">
        <v>232</v>
      </c>
      <c r="E81" s="465">
        <v>111.32</v>
      </c>
      <c r="F81" s="466">
        <v>4070.3220000000001</v>
      </c>
      <c r="G81" s="466">
        <f t="shared" si="4"/>
        <v>453108.24504000001</v>
      </c>
      <c r="H81" s="467"/>
      <c r="I81" s="467"/>
      <c r="J81" s="487">
        <f>G81</f>
        <v>453108.24504000001</v>
      </c>
    </row>
    <row r="82" spans="2:14" ht="16">
      <c r="B82" s="462"/>
      <c r="C82" s="468"/>
      <c r="D82" s="464"/>
      <c r="E82" s="465"/>
      <c r="F82" s="466"/>
      <c r="G82" s="466">
        <f t="shared" si="4"/>
        <v>0</v>
      </c>
      <c r="H82" s="467"/>
      <c r="I82" s="467"/>
    </row>
    <row r="83" spans="2:14" ht="16">
      <c r="B83" s="455">
        <v>2</v>
      </c>
      <c r="C83" s="455" t="s">
        <v>318</v>
      </c>
      <c r="D83" s="457"/>
      <c r="E83" s="458"/>
      <c r="F83" s="459"/>
      <c r="G83" s="460"/>
      <c r="H83" s="461"/>
      <c r="I83" s="461"/>
    </row>
    <row r="84" spans="2:14" ht="17">
      <c r="B84" s="462" t="s">
        <v>319</v>
      </c>
      <c r="C84" s="463" t="s">
        <v>320</v>
      </c>
      <c r="D84" s="464" t="s">
        <v>207</v>
      </c>
      <c r="E84" s="465">
        <v>133.65</v>
      </c>
      <c r="F84" s="466">
        <v>35418.959000000003</v>
      </c>
      <c r="G84" s="466">
        <f t="shared" ref="G84:G95" si="6">E84*F84</f>
        <v>4733743.8703500004</v>
      </c>
      <c r="H84" s="467"/>
      <c r="I84" s="467"/>
      <c r="J84" s="487">
        <f>G84</f>
        <v>4733743.8703500004</v>
      </c>
    </row>
    <row r="85" spans="2:14" ht="68">
      <c r="B85" s="462" t="s">
        <v>321</v>
      </c>
      <c r="C85" s="468" t="s">
        <v>322</v>
      </c>
      <c r="D85" s="464" t="s">
        <v>207</v>
      </c>
      <c r="E85" s="465">
        <v>84.739999999999981</v>
      </c>
      <c r="F85" s="466">
        <v>24191.237000000001</v>
      </c>
      <c r="G85" s="466">
        <f t="shared" si="6"/>
        <v>2049965.4233799996</v>
      </c>
      <c r="H85" s="467" t="s">
        <v>323</v>
      </c>
      <c r="I85" s="467"/>
      <c r="J85" s="487">
        <f>G85</f>
        <v>2049965.4233799996</v>
      </c>
    </row>
    <row r="86" spans="2:14" ht="16">
      <c r="B86" s="462" t="s">
        <v>324</v>
      </c>
      <c r="C86" s="471" t="s">
        <v>325</v>
      </c>
      <c r="D86" s="464" t="s">
        <v>207</v>
      </c>
      <c r="E86" s="465">
        <v>84.739999999999981</v>
      </c>
      <c r="F86" s="466">
        <v>2300</v>
      </c>
      <c r="G86" s="466">
        <f t="shared" si="6"/>
        <v>194901.99999999994</v>
      </c>
      <c r="H86" s="467"/>
      <c r="I86" s="467"/>
      <c r="J86" s="487">
        <f>G86</f>
        <v>194901.99999999994</v>
      </c>
    </row>
    <row r="87" spans="2:14" ht="16">
      <c r="B87" s="462" t="s">
        <v>326</v>
      </c>
      <c r="C87" s="471" t="s">
        <v>327</v>
      </c>
      <c r="D87" s="464" t="s">
        <v>207</v>
      </c>
      <c r="E87" s="465">
        <v>84.739999999999981</v>
      </c>
      <c r="F87" s="466">
        <v>6100</v>
      </c>
      <c r="G87" s="466">
        <f t="shared" si="6"/>
        <v>516913.99999999988</v>
      </c>
      <c r="H87" s="467"/>
      <c r="I87" s="467"/>
      <c r="J87" s="487">
        <f>G87</f>
        <v>516913.99999999988</v>
      </c>
    </row>
    <row r="88" spans="2:14" ht="17">
      <c r="B88" s="462" t="s">
        <v>328</v>
      </c>
      <c r="C88" s="468" t="s">
        <v>192</v>
      </c>
      <c r="D88" s="464"/>
      <c r="E88" s="465"/>
      <c r="F88" s="466"/>
      <c r="G88" s="466">
        <f t="shared" si="6"/>
        <v>0</v>
      </c>
      <c r="H88" s="467"/>
      <c r="I88" s="467"/>
    </row>
    <row r="89" spans="2:14" ht="17">
      <c r="B89" s="462" t="s">
        <v>329</v>
      </c>
      <c r="C89" s="468" t="s">
        <v>330</v>
      </c>
      <c r="D89" s="464" t="s">
        <v>232</v>
      </c>
      <c r="E89" s="465">
        <v>77.63</v>
      </c>
      <c r="F89" s="473">
        <v>18587.296999999999</v>
      </c>
      <c r="G89" s="466">
        <f t="shared" si="6"/>
        <v>1442931.8661099998</v>
      </c>
      <c r="H89" s="467"/>
      <c r="I89" s="467"/>
      <c r="J89" s="487">
        <f>G89</f>
        <v>1442931.8661099998</v>
      </c>
    </row>
    <row r="90" spans="2:14" ht="17">
      <c r="B90" s="462" t="s">
        <v>331</v>
      </c>
      <c r="C90" s="463" t="s">
        <v>332</v>
      </c>
      <c r="D90" s="464" t="s">
        <v>207</v>
      </c>
      <c r="E90" s="465">
        <v>60.425000000000004</v>
      </c>
      <c r="F90" s="473">
        <v>26059.798999999999</v>
      </c>
      <c r="G90" s="466">
        <f t="shared" si="6"/>
        <v>1574663.354575</v>
      </c>
      <c r="H90" s="467"/>
      <c r="I90" s="467"/>
      <c r="J90" s="487">
        <f>G90</f>
        <v>1574663.354575</v>
      </c>
    </row>
    <row r="91" spans="2:14" ht="17">
      <c r="B91" s="462" t="s">
        <v>333</v>
      </c>
      <c r="C91" s="468" t="s">
        <v>334</v>
      </c>
      <c r="D91" s="464" t="s">
        <v>232</v>
      </c>
      <c r="E91" s="465">
        <v>111.32</v>
      </c>
      <c r="F91" s="466">
        <v>1200</v>
      </c>
      <c r="G91" s="466">
        <f t="shared" si="6"/>
        <v>133584</v>
      </c>
      <c r="H91" s="467"/>
      <c r="I91" s="467"/>
      <c r="J91" s="487">
        <f>G91</f>
        <v>133584</v>
      </c>
    </row>
    <row r="92" spans="2:14" ht="17">
      <c r="B92" s="462" t="s">
        <v>335</v>
      </c>
      <c r="C92" s="468" t="s">
        <v>336</v>
      </c>
      <c r="D92" s="464" t="s">
        <v>232</v>
      </c>
      <c r="E92" s="465">
        <v>111.32</v>
      </c>
      <c r="F92" s="466">
        <v>4800</v>
      </c>
      <c r="G92" s="466">
        <f t="shared" si="6"/>
        <v>534336</v>
      </c>
      <c r="H92" s="467"/>
      <c r="I92" s="467"/>
      <c r="J92" s="487">
        <f>G92</f>
        <v>534336</v>
      </c>
    </row>
    <row r="93" spans="2:14" ht="17">
      <c r="B93" s="462" t="s">
        <v>337</v>
      </c>
      <c r="C93" s="468" t="s">
        <v>338</v>
      </c>
      <c r="D93" s="464" t="s">
        <v>224</v>
      </c>
      <c r="E93" s="465">
        <v>1</v>
      </c>
      <c r="F93" s="466">
        <v>550000</v>
      </c>
      <c r="G93" s="466">
        <f t="shared" si="6"/>
        <v>550000</v>
      </c>
      <c r="H93" s="467"/>
      <c r="I93" s="467"/>
      <c r="N93" s="487">
        <f>G93</f>
        <v>550000</v>
      </c>
    </row>
    <row r="94" spans="2:14" ht="17">
      <c r="B94" s="462" t="s">
        <v>339</v>
      </c>
      <c r="C94" s="468" t="s">
        <v>340</v>
      </c>
      <c r="D94" s="464" t="s">
        <v>207</v>
      </c>
      <c r="E94" s="465">
        <v>81.054000000000002</v>
      </c>
      <c r="F94" s="466">
        <v>6100</v>
      </c>
      <c r="G94" s="466">
        <f t="shared" si="6"/>
        <v>494429.4</v>
      </c>
      <c r="H94" s="467"/>
      <c r="I94" s="467"/>
      <c r="J94" s="487">
        <f>G94</f>
        <v>494429.4</v>
      </c>
    </row>
    <row r="95" spans="2:14" ht="16">
      <c r="B95" s="462"/>
      <c r="C95" s="468"/>
      <c r="D95" s="464"/>
      <c r="E95" s="465"/>
      <c r="F95" s="466"/>
      <c r="G95" s="466">
        <f t="shared" si="6"/>
        <v>0</v>
      </c>
      <c r="H95" s="467"/>
      <c r="I95" s="467"/>
    </row>
    <row r="96" spans="2:14" ht="16">
      <c r="B96" s="455"/>
      <c r="C96" s="455"/>
      <c r="D96" s="457"/>
      <c r="E96" s="458"/>
      <c r="F96" s="459"/>
      <c r="G96" s="460"/>
      <c r="H96" s="461"/>
      <c r="I96" s="461"/>
    </row>
    <row r="97" spans="2:24">
      <c r="B97" s="471"/>
      <c r="C97" s="470" t="s">
        <v>121</v>
      </c>
      <c r="D97" s="471"/>
      <c r="E97" s="476"/>
      <c r="F97" s="477"/>
      <c r="G97" s="477">
        <f>SUM(G10:G95)</f>
        <v>64723319.683446027</v>
      </c>
      <c r="H97" s="478"/>
      <c r="I97" s="478"/>
      <c r="J97" s="477">
        <f t="shared" ref="J97:R97" si="7">SUM(J10:J95)</f>
        <v>36422287.616388015</v>
      </c>
      <c r="K97" s="477">
        <f t="shared" si="7"/>
        <v>2079595</v>
      </c>
      <c r="L97" s="477">
        <f t="shared" si="7"/>
        <v>518400.00000000006</v>
      </c>
      <c r="M97" s="477">
        <f t="shared" si="7"/>
        <v>7802282.347058</v>
      </c>
      <c r="N97" s="477">
        <f t="shared" si="7"/>
        <v>7813327.7000000002</v>
      </c>
      <c r="O97" s="477">
        <f t="shared" si="7"/>
        <v>5221478.62</v>
      </c>
      <c r="P97" s="477">
        <f t="shared" si="7"/>
        <v>4865948.4000000004</v>
      </c>
      <c r="Q97" s="477">
        <f t="shared" si="7"/>
        <v>0</v>
      </c>
      <c r="R97" s="477">
        <f t="shared" si="7"/>
        <v>0</v>
      </c>
      <c r="S97" s="487"/>
      <c r="T97" s="487"/>
      <c r="U97" s="487"/>
      <c r="V97" s="487"/>
      <c r="W97" s="487"/>
      <c r="X97" s="487"/>
    </row>
    <row r="98" spans="2:24">
      <c r="B98" s="471"/>
      <c r="C98" s="471" t="s">
        <v>341</v>
      </c>
      <c r="D98" s="476" t="s">
        <v>342</v>
      </c>
      <c r="E98" s="479">
        <f>+G98/G97</f>
        <v>0.17461447261711835</v>
      </c>
      <c r="F98" s="477"/>
      <c r="G98" s="477">
        <f>+[1]GG!G9</f>
        <v>11301628.332554083</v>
      </c>
      <c r="H98" s="478"/>
      <c r="I98" s="478"/>
      <c r="J98" s="487"/>
      <c r="K98" s="487"/>
      <c r="L98" s="487"/>
      <c r="M98" s="487"/>
      <c r="N98" s="487"/>
      <c r="O98" s="487"/>
      <c r="P98" s="487"/>
      <c r="Q98" s="487"/>
      <c r="R98" s="487"/>
      <c r="S98" s="487"/>
      <c r="T98" s="487"/>
      <c r="U98" s="487"/>
      <c r="V98" s="487"/>
      <c r="W98" s="487"/>
      <c r="X98" s="487"/>
    </row>
    <row r="99" spans="2:24">
      <c r="B99" s="471"/>
      <c r="C99" s="471" t="s">
        <v>343</v>
      </c>
      <c r="D99" s="476" t="s">
        <v>342</v>
      </c>
      <c r="E99" s="480">
        <v>0.05</v>
      </c>
      <c r="F99" s="477"/>
      <c r="G99" s="477">
        <f>E99*G97</f>
        <v>3236165.9841723014</v>
      </c>
      <c r="H99" s="478"/>
      <c r="I99" s="478"/>
      <c r="J99" s="487"/>
      <c r="K99" s="487"/>
      <c r="L99" s="487"/>
      <c r="M99" s="487"/>
      <c r="N99" s="487"/>
      <c r="O99" s="487"/>
      <c r="P99" s="487"/>
      <c r="Q99" s="487"/>
      <c r="R99" s="487"/>
      <c r="S99" s="487"/>
      <c r="T99" s="487"/>
      <c r="U99" s="487"/>
      <c r="V99" s="487"/>
      <c r="W99" s="487"/>
      <c r="X99" s="487"/>
    </row>
    <row r="100" spans="2:24">
      <c r="B100" s="471"/>
      <c r="C100" s="471" t="s">
        <v>122</v>
      </c>
      <c r="D100" s="476"/>
      <c r="E100" s="476"/>
      <c r="F100" s="477"/>
      <c r="G100" s="477">
        <f>SUM(G97:G99)</f>
        <v>79261114.000172406</v>
      </c>
      <c r="H100" s="478"/>
      <c r="I100" s="478"/>
      <c r="J100" s="487"/>
      <c r="K100" s="487"/>
      <c r="L100" s="487"/>
      <c r="M100" s="487"/>
      <c r="N100" s="487"/>
      <c r="O100" s="487"/>
      <c r="P100" s="487"/>
      <c r="Q100" s="487"/>
      <c r="R100" s="487"/>
      <c r="S100" s="487"/>
      <c r="T100" s="487"/>
      <c r="U100" s="487"/>
      <c r="V100" s="487"/>
      <c r="W100" s="487"/>
      <c r="X100" s="487"/>
    </row>
    <row r="101" spans="2:24">
      <c r="B101" s="471"/>
      <c r="C101" s="471" t="s">
        <v>344</v>
      </c>
      <c r="D101" s="476" t="s">
        <v>342</v>
      </c>
      <c r="E101" s="480">
        <v>0.19</v>
      </c>
      <c r="F101" s="477"/>
      <c r="G101" s="477">
        <f>G100*E101</f>
        <v>15059611.660032757</v>
      </c>
      <c r="H101" s="478"/>
      <c r="I101" s="478"/>
      <c r="J101" s="487"/>
      <c r="K101" s="487"/>
      <c r="L101" s="487"/>
      <c r="M101" s="487"/>
      <c r="N101" s="487"/>
      <c r="O101" s="487"/>
      <c r="P101" s="487"/>
      <c r="Q101" s="487"/>
      <c r="R101" s="487"/>
      <c r="S101" s="487"/>
      <c r="T101" s="487"/>
      <c r="U101" s="487"/>
      <c r="V101" s="487"/>
      <c r="W101" s="487"/>
      <c r="X101" s="487"/>
    </row>
    <row r="102" spans="2:24">
      <c r="B102" s="471"/>
      <c r="C102" s="471" t="s">
        <v>345</v>
      </c>
      <c r="D102" s="471"/>
      <c r="E102" s="476"/>
      <c r="F102" s="477"/>
      <c r="G102" s="477">
        <f>SUM(G100:G101)</f>
        <v>94320725.660205156</v>
      </c>
      <c r="H102" s="478"/>
      <c r="I102" s="478"/>
      <c r="J102" s="487"/>
      <c r="K102" s="487"/>
      <c r="L102" s="487"/>
      <c r="M102" s="487"/>
      <c r="N102" s="487"/>
      <c r="O102" s="487"/>
      <c r="P102" s="487"/>
      <c r="Q102" s="487"/>
      <c r="R102" s="487"/>
      <c r="S102" s="487"/>
      <c r="T102" s="487"/>
      <c r="U102" s="487"/>
      <c r="V102" s="487"/>
      <c r="W102" s="487"/>
      <c r="X102" s="487"/>
    </row>
    <row r="106" spans="2:24">
      <c r="B106" s="436" t="s">
        <v>346</v>
      </c>
      <c r="C106" s="436" t="s">
        <v>347</v>
      </c>
    </row>
    <row r="107" spans="2:24">
      <c r="C107" s="436" t="s">
        <v>190</v>
      </c>
    </row>
    <row r="108" spans="2:24">
      <c r="C108" s="436" t="s">
        <v>348</v>
      </c>
    </row>
    <row r="111" spans="2:24">
      <c r="F111" s="449" t="str">
        <f>J6</f>
        <v>MM</v>
      </c>
      <c r="G111" s="449">
        <f>J97</f>
        <v>36422287.616388015</v>
      </c>
    </row>
    <row r="112" spans="2:24">
      <c r="F112" s="449" t="str">
        <f>K6</f>
        <v>Escombros</v>
      </c>
      <c r="G112" s="449">
        <f>K97</f>
        <v>2079595</v>
      </c>
    </row>
    <row r="113" spans="6:7">
      <c r="F113" s="449" t="str">
        <f>L6</f>
        <v>espejo y marco puerta</v>
      </c>
      <c r="G113" s="449">
        <f>L97</f>
        <v>518400.00000000006</v>
      </c>
    </row>
    <row r="114" spans="6:7">
      <c r="F114" s="449" t="str">
        <f>M6</f>
        <v>ceramista</v>
      </c>
      <c r="G114" s="449">
        <f>M97</f>
        <v>7802282.347058</v>
      </c>
    </row>
    <row r="115" spans="6:7">
      <c r="F115" s="449" t="str">
        <f>N6</f>
        <v>Sanitario</v>
      </c>
      <c r="G115" s="449">
        <f>N97</f>
        <v>7813327.7000000002</v>
      </c>
    </row>
    <row r="116" spans="6:7">
      <c r="F116" s="449" t="str">
        <f>O6</f>
        <v>Divissión</v>
      </c>
      <c r="G116" s="449">
        <f>O97</f>
        <v>5221478.62</v>
      </c>
    </row>
    <row r="117" spans="6:7">
      <c r="F117" s="449" t="str">
        <f>P6</f>
        <v>mueblista</v>
      </c>
      <c r="G117" s="449">
        <f>P97</f>
        <v>4865948.4000000004</v>
      </c>
    </row>
    <row r="118" spans="6:7">
      <c r="F118" s="449" t="str">
        <f>Q6</f>
        <v xml:space="preserve">EEMM </v>
      </c>
      <c r="G118" s="449">
        <f>Q97</f>
        <v>0</v>
      </c>
    </row>
    <row r="119" spans="6:7">
      <c r="F119" s="449" t="str">
        <f>R6</f>
        <v>Pintura</v>
      </c>
      <c r="G119" s="449">
        <f>R97</f>
        <v>0</v>
      </c>
    </row>
    <row r="120" spans="6:7">
      <c r="G120" s="449">
        <f>SUM(G111:G119)</f>
        <v>64723319.683446012</v>
      </c>
    </row>
  </sheetData>
  <protectedRanges>
    <protectedRange password="EC3E" sqref="C9" name="Rango1_2"/>
  </protectedRanges>
  <pageMargins left="0.7" right="0.7" top="0.75" bottom="0.75" header="0.3" footer="0.3"/>
  <pageSetup scale="36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9"/>
  <sheetViews>
    <sheetView zoomScale="63" workbookViewId="0">
      <selection activeCell="M24" sqref="M24"/>
    </sheetView>
  </sheetViews>
  <sheetFormatPr baseColWidth="10" defaultColWidth="11.5" defaultRowHeight="18"/>
  <cols>
    <col min="1" max="1" width="11.5" style="310"/>
    <col min="2" max="2" width="16.33203125" style="310" customWidth="1"/>
    <col min="3" max="4" width="18.33203125" style="310" customWidth="1"/>
    <col min="5" max="5" width="16.6640625" style="310" customWidth="1"/>
    <col min="6" max="6" width="23" style="310" customWidth="1"/>
    <col min="7" max="7" width="8.33203125" style="310" customWidth="1"/>
    <col min="8" max="8" width="20.5" style="310" customWidth="1"/>
    <col min="9" max="9" width="50.33203125" style="310" customWidth="1"/>
    <col min="10" max="10" width="20.33203125" style="310" customWidth="1"/>
    <col min="11" max="11" width="18.6640625" style="310" customWidth="1"/>
    <col min="12" max="12" width="27.33203125" style="310" bestFit="1" customWidth="1"/>
    <col min="13" max="13" width="26.1640625" style="310" customWidth="1"/>
    <col min="14" max="14" width="19.33203125" style="629" customWidth="1"/>
    <col min="15" max="15" width="27.1640625" style="310" customWidth="1"/>
    <col min="16" max="16" width="19.1640625" bestFit="1" customWidth="1"/>
    <col min="17" max="17" width="15.83203125" bestFit="1" customWidth="1"/>
    <col min="19" max="19" width="17.1640625" bestFit="1" customWidth="1"/>
  </cols>
  <sheetData>
    <row r="1" spans="1:16" s="531" customFormat="1" ht="18" customHeight="1">
      <c r="A1" s="670"/>
      <c r="B1" s="671"/>
      <c r="C1" s="671"/>
      <c r="D1" s="674" t="s">
        <v>444</v>
      </c>
      <c r="E1" s="674"/>
      <c r="F1" s="674"/>
      <c r="G1" s="674"/>
      <c r="H1" s="674"/>
      <c r="I1" s="674"/>
      <c r="J1" s="674"/>
      <c r="K1" s="674"/>
      <c r="L1" s="529" t="s">
        <v>445</v>
      </c>
      <c r="M1" s="530"/>
      <c r="N1" s="676"/>
      <c r="O1" s="677"/>
    </row>
    <row r="2" spans="1:16" s="531" customFormat="1" ht="18" customHeight="1">
      <c r="A2" s="672"/>
      <c r="B2" s="673"/>
      <c r="C2" s="673"/>
      <c r="D2" s="675"/>
      <c r="E2" s="675"/>
      <c r="F2" s="675"/>
      <c r="G2" s="675"/>
      <c r="H2" s="675"/>
      <c r="I2" s="675"/>
      <c r="J2" s="675"/>
      <c r="K2" s="675"/>
      <c r="L2" s="532" t="s">
        <v>446</v>
      </c>
      <c r="M2" s="533"/>
      <c r="N2" s="678"/>
      <c r="O2" s="679"/>
    </row>
    <row r="3" spans="1:16" s="531" customFormat="1" ht="15" customHeight="1">
      <c r="A3" s="672"/>
      <c r="B3" s="673"/>
      <c r="C3" s="673"/>
      <c r="D3" s="682"/>
      <c r="E3" s="683"/>
      <c r="F3" s="683"/>
      <c r="G3" s="683"/>
      <c r="H3" s="683"/>
      <c r="I3" s="683"/>
      <c r="J3" s="683"/>
      <c r="K3" s="684"/>
      <c r="L3" s="691"/>
      <c r="M3" s="692"/>
      <c r="N3" s="678"/>
      <c r="O3" s="679"/>
    </row>
    <row r="4" spans="1:16" s="531" customFormat="1" ht="15" customHeight="1">
      <c r="A4" s="672"/>
      <c r="B4" s="673"/>
      <c r="C4" s="673"/>
      <c r="D4" s="685"/>
      <c r="E4" s="686"/>
      <c r="F4" s="686"/>
      <c r="G4" s="686"/>
      <c r="H4" s="686"/>
      <c r="I4" s="686"/>
      <c r="J4" s="686"/>
      <c r="K4" s="687"/>
      <c r="L4" s="693"/>
      <c r="M4" s="694"/>
      <c r="N4" s="678"/>
      <c r="O4" s="679"/>
    </row>
    <row r="5" spans="1:16" s="531" customFormat="1" ht="15" customHeight="1">
      <c r="A5" s="672"/>
      <c r="B5" s="673"/>
      <c r="C5" s="673"/>
      <c r="D5" s="688"/>
      <c r="E5" s="689"/>
      <c r="F5" s="689"/>
      <c r="G5" s="689"/>
      <c r="H5" s="689"/>
      <c r="I5" s="689"/>
      <c r="J5" s="689"/>
      <c r="K5" s="690"/>
      <c r="L5" s="695"/>
      <c r="M5" s="696"/>
      <c r="N5" s="678"/>
      <c r="O5" s="679"/>
    </row>
    <row r="6" spans="1:16" s="531" customFormat="1" ht="15" customHeight="1">
      <c r="A6" s="672"/>
      <c r="B6" s="673"/>
      <c r="C6" s="673"/>
      <c r="D6" s="675" t="s">
        <v>447</v>
      </c>
      <c r="E6" s="675"/>
      <c r="F6" s="675"/>
      <c r="G6" s="675"/>
      <c r="H6" s="675"/>
      <c r="I6" s="675"/>
      <c r="J6" s="675"/>
      <c r="K6" s="675"/>
      <c r="L6" s="691"/>
      <c r="M6" s="692"/>
      <c r="N6" s="678"/>
      <c r="O6" s="679"/>
    </row>
    <row r="7" spans="1:16" s="531" customFormat="1" ht="15" customHeight="1">
      <c r="A7" s="672"/>
      <c r="B7" s="673"/>
      <c r="C7" s="673"/>
      <c r="D7" s="675"/>
      <c r="E7" s="675"/>
      <c r="F7" s="675"/>
      <c r="G7" s="675"/>
      <c r="H7" s="675"/>
      <c r="I7" s="675"/>
      <c r="J7" s="675"/>
      <c r="K7" s="675"/>
      <c r="L7" s="695"/>
      <c r="M7" s="696"/>
      <c r="N7" s="678"/>
      <c r="O7" s="679"/>
    </row>
    <row r="8" spans="1:16" s="531" customFormat="1" ht="19" thickBot="1">
      <c r="A8" s="599"/>
      <c r="B8" s="600"/>
      <c r="C8" s="534"/>
      <c r="D8" s="601"/>
      <c r="E8" s="601"/>
      <c r="F8" s="601"/>
      <c r="G8" s="601"/>
      <c r="H8" s="601"/>
      <c r="I8" s="601"/>
      <c r="J8" s="601"/>
      <c r="K8" s="601"/>
      <c r="L8" s="534"/>
      <c r="M8" s="535"/>
      <c r="N8" s="678"/>
      <c r="O8" s="679"/>
    </row>
    <row r="9" spans="1:16" s="531" customFormat="1">
      <c r="A9" s="602" t="s">
        <v>448</v>
      </c>
      <c r="B9" s="697" t="s">
        <v>449</v>
      </c>
      <c r="C9" s="698"/>
      <c r="D9" s="699"/>
      <c r="E9" s="603"/>
      <c r="F9" s="604"/>
      <c r="G9" s="605"/>
      <c r="H9" s="606"/>
      <c r="I9" s="700" t="s">
        <v>450</v>
      </c>
      <c r="J9" s="701"/>
      <c r="K9" s="701"/>
      <c r="L9" s="701"/>
      <c r="M9" s="536">
        <v>1200</v>
      </c>
      <c r="N9" s="678"/>
      <c r="O9" s="679"/>
    </row>
    <row r="10" spans="1:16" s="531" customFormat="1" ht="19" thickBot="1">
      <c r="A10" s="607" t="s">
        <v>451</v>
      </c>
      <c r="B10" s="702">
        <v>45742</v>
      </c>
      <c r="C10" s="703"/>
      <c r="D10" s="704"/>
      <c r="E10" s="608"/>
      <c r="F10" s="605"/>
      <c r="G10" s="605"/>
      <c r="H10" s="606"/>
      <c r="I10" s="667" t="s">
        <v>452</v>
      </c>
      <c r="J10" s="668"/>
      <c r="K10" s="668"/>
      <c r="L10" s="668"/>
      <c r="M10" s="537">
        <f>M26/M9</f>
        <v>5963.0163225000006</v>
      </c>
      <c r="N10" s="678"/>
      <c r="O10" s="679"/>
      <c r="P10" s="538"/>
    </row>
    <row r="11" spans="1:16" s="531" customFormat="1">
      <c r="A11" s="609"/>
      <c r="B11" s="610"/>
      <c r="C11" s="611"/>
      <c r="D11" s="611"/>
      <c r="E11" s="611"/>
      <c r="F11" s="611"/>
      <c r="G11" s="611"/>
      <c r="H11" s="611"/>
      <c r="I11" s="539"/>
      <c r="J11" s="539"/>
      <c r="K11" s="539"/>
      <c r="L11" s="539"/>
      <c r="M11" s="540"/>
      <c r="N11" s="678"/>
      <c r="O11" s="679"/>
    </row>
    <row r="12" spans="1:16" s="531" customFormat="1" ht="19" thickBot="1">
      <c r="A12" s="612"/>
      <c r="B12" s="613"/>
      <c r="C12" s="541"/>
      <c r="D12" s="541"/>
      <c r="E12" s="541"/>
      <c r="F12" s="541"/>
      <c r="G12" s="541"/>
      <c r="H12" s="541"/>
      <c r="I12" s="541"/>
      <c r="J12" s="541"/>
      <c r="K12" s="541"/>
      <c r="L12" s="541"/>
      <c r="M12" s="542"/>
      <c r="N12" s="680"/>
      <c r="O12" s="681"/>
    </row>
    <row r="13" spans="1:16" s="531" customFormat="1" ht="114">
      <c r="A13" s="543" t="s">
        <v>453</v>
      </c>
      <c r="B13" s="543" t="s">
        <v>454</v>
      </c>
      <c r="C13" s="543" t="s">
        <v>455</v>
      </c>
      <c r="D13" s="543" t="s">
        <v>456</v>
      </c>
      <c r="E13" s="614" t="s">
        <v>457</v>
      </c>
      <c r="F13" s="543" t="s">
        <v>41</v>
      </c>
      <c r="G13" s="543" t="s">
        <v>458</v>
      </c>
      <c r="H13" s="543" t="s">
        <v>459</v>
      </c>
      <c r="I13" s="543" t="s">
        <v>460</v>
      </c>
      <c r="J13" s="543" t="s">
        <v>461</v>
      </c>
      <c r="K13" s="543" t="s">
        <v>462</v>
      </c>
      <c r="L13" s="543" t="s">
        <v>463</v>
      </c>
      <c r="M13" s="543" t="s">
        <v>464</v>
      </c>
      <c r="N13" s="615" t="s">
        <v>465</v>
      </c>
      <c r="O13" s="615" t="s">
        <v>466</v>
      </c>
    </row>
    <row r="14" spans="1:16" s="531" customFormat="1">
      <c r="A14" s="669" t="s">
        <v>467</v>
      </c>
      <c r="B14" s="669"/>
      <c r="C14" s="669"/>
      <c r="D14" s="669"/>
      <c r="E14" s="669"/>
      <c r="F14" s="669"/>
      <c r="G14" s="669"/>
      <c r="H14" s="669"/>
      <c r="I14" s="669"/>
      <c r="J14" s="669"/>
      <c r="K14" s="669"/>
      <c r="L14" s="669"/>
      <c r="M14" s="669"/>
      <c r="N14" s="669"/>
      <c r="O14" s="669"/>
    </row>
    <row r="15" spans="1:16" s="531" customFormat="1" ht="38">
      <c r="A15" s="563">
        <v>1</v>
      </c>
      <c r="B15" s="564">
        <v>45887</v>
      </c>
      <c r="C15" s="564">
        <v>45887</v>
      </c>
      <c r="D15" s="564">
        <v>45887</v>
      </c>
      <c r="E15" s="565"/>
      <c r="F15" s="566" t="s">
        <v>468</v>
      </c>
      <c r="G15" s="567"/>
      <c r="H15" s="568" t="s">
        <v>469</v>
      </c>
      <c r="I15" s="569" t="s">
        <v>515</v>
      </c>
      <c r="J15" s="564"/>
      <c r="K15" s="570"/>
      <c r="L15" s="548">
        <v>322541.59999999998</v>
      </c>
      <c r="M15" s="549">
        <v>292895.59999999998</v>
      </c>
      <c r="N15" s="550" t="s">
        <v>470</v>
      </c>
      <c r="O15" s="551" t="s">
        <v>470</v>
      </c>
    </row>
    <row r="16" spans="1:16" s="531" customFormat="1" ht="19">
      <c r="A16" s="563">
        <v>2</v>
      </c>
      <c r="B16" s="564">
        <v>45887</v>
      </c>
      <c r="C16" s="564">
        <v>45887</v>
      </c>
      <c r="D16" s="564">
        <v>45887</v>
      </c>
      <c r="E16" s="565"/>
      <c r="F16" s="571" t="s">
        <v>471</v>
      </c>
      <c r="G16" s="567"/>
      <c r="H16" s="572" t="s">
        <v>472</v>
      </c>
      <c r="I16" s="569" t="s">
        <v>473</v>
      </c>
      <c r="J16" s="564"/>
      <c r="K16" s="570"/>
      <c r="L16" s="548">
        <v>3146000</v>
      </c>
      <c r="M16" s="616">
        <v>0</v>
      </c>
      <c r="N16" s="550" t="s">
        <v>470</v>
      </c>
      <c r="O16" s="551" t="s">
        <v>470</v>
      </c>
    </row>
    <row r="17" spans="1:23" s="531" customFormat="1" ht="38">
      <c r="A17" s="563">
        <v>3</v>
      </c>
      <c r="B17" s="564">
        <v>45887</v>
      </c>
      <c r="C17" s="564">
        <v>45905</v>
      </c>
      <c r="D17" s="564">
        <v>45909</v>
      </c>
      <c r="E17" s="565"/>
      <c r="F17" s="566" t="s">
        <v>468</v>
      </c>
      <c r="G17" s="567"/>
      <c r="H17" s="568" t="s">
        <v>469</v>
      </c>
      <c r="I17" s="569" t="s">
        <v>516</v>
      </c>
      <c r="J17" s="564"/>
      <c r="K17" s="570"/>
      <c r="L17" s="552">
        <v>1084874.6400000001</v>
      </c>
      <c r="M17" s="552">
        <f>+L17</f>
        <v>1084874.6400000001</v>
      </c>
      <c r="N17" s="550" t="s">
        <v>470</v>
      </c>
      <c r="O17" s="551" t="s">
        <v>470</v>
      </c>
    </row>
    <row r="18" spans="1:23" s="531" customFormat="1" ht="38">
      <c r="A18" s="563">
        <v>4</v>
      </c>
      <c r="B18" s="564">
        <v>45902</v>
      </c>
      <c r="C18" s="564">
        <v>45905</v>
      </c>
      <c r="D18" s="564">
        <v>45909</v>
      </c>
      <c r="E18" s="565"/>
      <c r="F18" s="566" t="s">
        <v>471</v>
      </c>
      <c r="G18" s="567"/>
      <c r="H18" s="568" t="s">
        <v>469</v>
      </c>
      <c r="I18" s="569" t="s">
        <v>517</v>
      </c>
      <c r="J18" s="564"/>
      <c r="K18" s="570"/>
      <c r="L18" s="548">
        <f>+M18</f>
        <v>586638</v>
      </c>
      <c r="M18" s="549">
        <v>586638</v>
      </c>
      <c r="N18" s="550" t="s">
        <v>470</v>
      </c>
      <c r="O18" s="551" t="s">
        <v>470</v>
      </c>
    </row>
    <row r="19" spans="1:23" s="531" customFormat="1" ht="19">
      <c r="A19" s="563">
        <v>5</v>
      </c>
      <c r="B19" s="564">
        <v>45902</v>
      </c>
      <c r="C19" s="564">
        <v>45905</v>
      </c>
      <c r="D19" s="564">
        <v>45909</v>
      </c>
      <c r="E19" s="565"/>
      <c r="F19" s="566" t="s">
        <v>471</v>
      </c>
      <c r="G19" s="567"/>
      <c r="H19" s="568" t="s">
        <v>469</v>
      </c>
      <c r="I19" s="573" t="s">
        <v>518</v>
      </c>
      <c r="J19" s="564"/>
      <c r="K19" s="564"/>
      <c r="L19" s="548">
        <f>+M19</f>
        <v>314001</v>
      </c>
      <c r="M19" s="549">
        <v>314001</v>
      </c>
      <c r="N19" s="550" t="s">
        <v>470</v>
      </c>
      <c r="O19" s="551" t="s">
        <v>470</v>
      </c>
      <c r="P19" s="545"/>
      <c r="Q19" s="546"/>
      <c r="R19" s="544"/>
      <c r="S19" s="547"/>
      <c r="T19" s="552"/>
      <c r="U19" s="549"/>
      <c r="V19" s="550"/>
      <c r="W19" s="551"/>
    </row>
    <row r="20" spans="1:23" s="531" customFormat="1" ht="38">
      <c r="A20" s="563">
        <v>6</v>
      </c>
      <c r="B20" s="564">
        <v>45902</v>
      </c>
      <c r="C20" s="564">
        <v>45905</v>
      </c>
      <c r="D20" s="564">
        <v>45909</v>
      </c>
      <c r="E20" s="565"/>
      <c r="F20" s="566" t="s">
        <v>468</v>
      </c>
      <c r="G20" s="567"/>
      <c r="H20" s="568" t="s">
        <v>469</v>
      </c>
      <c r="I20" s="569" t="s">
        <v>519</v>
      </c>
      <c r="J20" s="564"/>
      <c r="K20" s="570"/>
      <c r="L20" s="548">
        <v>1895529</v>
      </c>
      <c r="M20" s="549">
        <v>1636529</v>
      </c>
      <c r="N20" s="550" t="s">
        <v>470</v>
      </c>
      <c r="O20" s="551" t="s">
        <v>470</v>
      </c>
    </row>
    <row r="21" spans="1:23" s="531" customFormat="1" ht="38">
      <c r="A21" s="563">
        <v>7</v>
      </c>
      <c r="B21" s="564">
        <v>45902</v>
      </c>
      <c r="C21" s="564">
        <v>45905</v>
      </c>
      <c r="D21" s="564">
        <v>45909</v>
      </c>
      <c r="E21" s="565"/>
      <c r="F21" s="566" t="s">
        <v>468</v>
      </c>
      <c r="G21" s="567"/>
      <c r="H21" s="568" t="s">
        <v>469</v>
      </c>
      <c r="I21" s="569" t="s">
        <v>520</v>
      </c>
      <c r="J21" s="564"/>
      <c r="K21" s="570"/>
      <c r="L21" s="548">
        <v>729324</v>
      </c>
      <c r="M21" s="549">
        <v>551023</v>
      </c>
      <c r="N21" s="550" t="s">
        <v>470</v>
      </c>
      <c r="O21" s="551" t="s">
        <v>470</v>
      </c>
    </row>
    <row r="22" spans="1:23" s="531" customFormat="1" ht="57">
      <c r="A22" s="563">
        <v>8</v>
      </c>
      <c r="B22" s="564">
        <v>45931</v>
      </c>
      <c r="C22" s="564">
        <v>45931</v>
      </c>
      <c r="D22" s="564">
        <v>45932</v>
      </c>
      <c r="E22" s="565"/>
      <c r="F22" s="566" t="s">
        <v>468</v>
      </c>
      <c r="G22" s="567"/>
      <c r="H22" s="568" t="s">
        <v>469</v>
      </c>
      <c r="I22" s="569" t="s">
        <v>521</v>
      </c>
      <c r="J22" s="564"/>
      <c r="K22" s="570"/>
      <c r="L22" s="548">
        <v>811971.94700000004</v>
      </c>
      <c r="M22" s="549">
        <f>+L22</f>
        <v>811971.94700000004</v>
      </c>
      <c r="N22" s="550" t="s">
        <v>470</v>
      </c>
      <c r="O22" s="551" t="s">
        <v>470</v>
      </c>
    </row>
    <row r="23" spans="1:23" s="531" customFormat="1" ht="57">
      <c r="A23" s="563">
        <v>9</v>
      </c>
      <c r="B23" s="564">
        <v>45927</v>
      </c>
      <c r="C23" s="564">
        <v>45910</v>
      </c>
      <c r="D23" s="564"/>
      <c r="E23" s="565"/>
      <c r="F23" s="566" t="s">
        <v>471</v>
      </c>
      <c r="G23" s="567"/>
      <c r="H23" s="568" t="s">
        <v>522</v>
      </c>
      <c r="I23" s="569" t="s">
        <v>523</v>
      </c>
      <c r="J23" s="564"/>
      <c r="K23" s="570"/>
      <c r="L23" s="548">
        <v>1064400</v>
      </c>
      <c r="M23" s="617">
        <f>+L23</f>
        <v>1064400</v>
      </c>
      <c r="N23" s="550" t="s">
        <v>470</v>
      </c>
      <c r="O23" s="551" t="s">
        <v>470</v>
      </c>
    </row>
    <row r="24" spans="1:23" s="531" customFormat="1" ht="19">
      <c r="A24" s="563">
        <v>10</v>
      </c>
      <c r="B24" s="564">
        <v>45927</v>
      </c>
      <c r="C24" s="564">
        <v>45910</v>
      </c>
      <c r="D24" s="564"/>
      <c r="E24" s="565"/>
      <c r="F24" s="566" t="s">
        <v>471</v>
      </c>
      <c r="G24" s="567"/>
      <c r="H24" s="568" t="s">
        <v>522</v>
      </c>
      <c r="I24" s="569" t="s">
        <v>524</v>
      </c>
      <c r="J24" s="564"/>
      <c r="K24" s="570"/>
      <c r="L24" s="548">
        <v>813286.40000000002</v>
      </c>
      <c r="M24" s="617">
        <f>+L24</f>
        <v>813286.40000000002</v>
      </c>
      <c r="N24" s="550" t="s">
        <v>470</v>
      </c>
      <c r="O24" s="551" t="s">
        <v>470</v>
      </c>
    </row>
    <row r="25" spans="1:23" s="531" customFormat="1">
      <c r="A25" s="618"/>
      <c r="B25" s="564"/>
      <c r="C25" s="564"/>
      <c r="D25" s="619"/>
      <c r="E25" s="567"/>
      <c r="F25" s="571"/>
      <c r="G25" s="567"/>
      <c r="H25" s="568"/>
      <c r="I25" s="569"/>
      <c r="J25" s="564"/>
      <c r="K25" s="570"/>
      <c r="L25" s="552"/>
      <c r="M25" s="549"/>
      <c r="N25" s="550"/>
      <c r="O25" s="551"/>
      <c r="P25" s="553"/>
      <c r="Q25" s="553"/>
    </row>
    <row r="26" spans="1:23" s="531" customFormat="1">
      <c r="A26" s="620"/>
      <c r="B26" s="621"/>
      <c r="C26" s="621"/>
      <c r="D26" s="621"/>
      <c r="E26" s="622"/>
      <c r="F26" s="623"/>
      <c r="G26" s="622"/>
      <c r="H26" s="624"/>
      <c r="I26" s="625"/>
      <c r="J26" s="621"/>
      <c r="K26" s="626" t="s">
        <v>474</v>
      </c>
      <c r="L26" s="554">
        <f>SUM(L15:L25)</f>
        <v>10768566.587000001</v>
      </c>
      <c r="M26" s="555">
        <f>SUM(M15:M25)</f>
        <v>7155619.5870000003</v>
      </c>
      <c r="N26" s="556"/>
      <c r="O26" s="557"/>
      <c r="P26" s="558"/>
      <c r="Q26" s="559"/>
    </row>
    <row r="27" spans="1:23" s="531" customFormat="1">
      <c r="A27" s="620"/>
      <c r="B27" s="621"/>
      <c r="C27" s="621"/>
      <c r="D27" s="621"/>
      <c r="E27" s="622"/>
      <c r="F27" s="623"/>
      <c r="G27" s="622"/>
      <c r="H27" s="624"/>
      <c r="I27" s="625"/>
      <c r="J27" s="621"/>
      <c r="K27" s="627"/>
      <c r="L27" s="560"/>
      <c r="M27" s="561"/>
      <c r="N27" s="556"/>
      <c r="O27" s="557"/>
      <c r="P27" s="558"/>
      <c r="Q27" s="559"/>
    </row>
    <row r="28" spans="1:23" s="531" customFormat="1">
      <c r="A28" s="620"/>
      <c r="B28" s="621"/>
      <c r="C28" s="621"/>
      <c r="D28" s="621"/>
      <c r="E28" s="622"/>
      <c r="F28" s="623"/>
      <c r="G28" s="622"/>
      <c r="H28" s="624"/>
      <c r="I28" s="625"/>
      <c r="J28" s="621"/>
      <c r="K28" s="627"/>
      <c r="L28" s="560"/>
      <c r="M28" s="561"/>
      <c r="N28" s="556"/>
      <c r="O28" s="557"/>
      <c r="P28" s="558"/>
      <c r="Q28" s="559"/>
    </row>
    <row r="29" spans="1:23" s="531" customFormat="1">
      <c r="A29" s="628"/>
      <c r="B29" s="628"/>
      <c r="C29" s="628"/>
      <c r="D29" s="628"/>
      <c r="E29" s="628"/>
      <c r="F29" s="628"/>
      <c r="G29" s="628"/>
      <c r="H29" s="628"/>
      <c r="I29" s="628"/>
      <c r="J29" s="628"/>
      <c r="K29" s="627"/>
      <c r="L29" s="562"/>
      <c r="M29" s="310"/>
      <c r="N29" s="605"/>
      <c r="O29" s="605"/>
    </row>
  </sheetData>
  <mergeCells count="12">
    <mergeCell ref="I10:L10"/>
    <mergeCell ref="A14:O14"/>
    <mergeCell ref="A1:C7"/>
    <mergeCell ref="D1:K2"/>
    <mergeCell ref="N1:O12"/>
    <mergeCell ref="D3:K5"/>
    <mergeCell ref="L3:M5"/>
    <mergeCell ref="D6:K7"/>
    <mergeCell ref="L6:M7"/>
    <mergeCell ref="B9:D9"/>
    <mergeCell ref="I9:L9"/>
    <mergeCell ref="B10:D10"/>
  </mergeCells>
  <conditionalFormatting sqref="H8:H11 H15:H28">
    <cfRule type="cellIs" dxfId="4" priority="3" stopIfTrue="1" operator="equal">
      <formula>#REF!</formula>
    </cfRule>
  </conditionalFormatting>
  <conditionalFormatting sqref="K8:K9 I10:J10 K11 K13 K15:K18 K20:K25 K27:K29">
    <cfRule type="cellIs" dxfId="3" priority="4" stopIfTrue="1" operator="equal">
      <formula>1</formula>
    </cfRule>
  </conditionalFormatting>
  <conditionalFormatting sqref="P19">
    <cfRule type="cellIs" dxfId="2" priority="1" stopIfTrue="1" operator="equal">
      <formula>#REF!</formula>
    </cfRule>
  </conditionalFormatting>
  <conditionalFormatting sqref="S19">
    <cfRule type="cellIs" dxfId="1" priority="2" stopIfTrue="1" operator="equal">
      <formula>1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48"/>
  <sheetViews>
    <sheetView showGridLines="0" topLeftCell="A6" zoomScaleNormal="100" workbookViewId="0">
      <selection activeCell="E8" sqref="E8"/>
    </sheetView>
  </sheetViews>
  <sheetFormatPr baseColWidth="10" defaultColWidth="10.83203125" defaultRowHeight="13"/>
  <cols>
    <col min="1" max="1" width="10.83203125" style="22"/>
    <col min="2" max="2" width="23.83203125" style="22" customWidth="1"/>
    <col min="3" max="3" width="17.6640625" style="22" bestFit="1" customWidth="1"/>
    <col min="4" max="14" width="15.83203125" style="22" customWidth="1"/>
    <col min="15" max="18" width="10.83203125" style="22"/>
    <col min="19" max="19" width="14" style="22" bestFit="1" customWidth="1"/>
    <col min="20" max="20" width="14.6640625" style="22" bestFit="1" customWidth="1"/>
    <col min="21" max="21" width="14" style="22" bestFit="1" customWidth="1"/>
    <col min="22" max="22" width="14.6640625" style="22" bestFit="1" customWidth="1"/>
    <col min="23" max="26" width="10.83203125" style="22"/>
    <col min="27" max="27" width="12" style="22" bestFit="1" customWidth="1"/>
    <col min="28" max="32" width="10.83203125" style="22"/>
    <col min="33" max="33" width="11.83203125" style="22" bestFit="1" customWidth="1"/>
    <col min="34" max="16384" width="10.83203125" style="22"/>
  </cols>
  <sheetData>
    <row r="1" spans="1:14">
      <c r="A1" s="718"/>
      <c r="B1" s="718"/>
      <c r="C1" s="718"/>
    </row>
    <row r="2" spans="1:14">
      <c r="A2" s="718"/>
      <c r="B2" s="718"/>
      <c r="C2" s="718"/>
      <c r="F2" s="721" t="s">
        <v>58</v>
      </c>
      <c r="G2" s="722"/>
      <c r="H2" s="722"/>
      <c r="I2" s="723"/>
    </row>
    <row r="3" spans="1:14" ht="13" customHeight="1">
      <c r="A3" s="718"/>
      <c r="B3" s="718"/>
      <c r="C3" s="718"/>
      <c r="F3" s="724"/>
      <c r="G3" s="725"/>
      <c r="H3" s="725"/>
      <c r="I3" s="726"/>
    </row>
    <row r="4" spans="1:14" ht="13" customHeight="1">
      <c r="A4" s="718"/>
      <c r="B4" s="718"/>
      <c r="C4" s="718"/>
      <c r="F4" s="28"/>
      <c r="G4" s="28"/>
      <c r="H4" s="28"/>
      <c r="I4" s="28"/>
      <c r="K4" s="28"/>
      <c r="L4" s="28"/>
      <c r="M4" s="28"/>
    </row>
    <row r="5" spans="1:14">
      <c r="A5" s="718"/>
      <c r="B5" s="718"/>
      <c r="C5" s="718"/>
      <c r="D5" s="28"/>
      <c r="E5" s="33"/>
      <c r="F5" s="727" t="s">
        <v>61</v>
      </c>
      <c r="G5" s="727"/>
      <c r="H5" s="727"/>
      <c r="I5" s="727"/>
      <c r="J5" s="29"/>
      <c r="N5" s="29"/>
    </row>
    <row r="6" spans="1:14">
      <c r="A6" s="718"/>
      <c r="B6" s="718"/>
      <c r="C6" s="719"/>
      <c r="D6" s="28"/>
      <c r="E6" s="94"/>
      <c r="F6" s="727"/>
      <c r="G6" s="727"/>
      <c r="H6" s="727"/>
      <c r="I6" s="727"/>
      <c r="J6" s="29"/>
      <c r="N6" s="29"/>
    </row>
    <row r="7" spans="1:14" ht="14">
      <c r="A7" s="718"/>
      <c r="B7" s="718"/>
      <c r="C7" s="719"/>
      <c r="D7" s="30" t="s">
        <v>31</v>
      </c>
      <c r="E7" s="308">
        <f>SUM(F29,H32,J32,L29,N29)</f>
        <v>28214258.616666667</v>
      </c>
      <c r="F7" s="190"/>
      <c r="G7" s="32"/>
      <c r="H7" s="32"/>
      <c r="I7" s="32"/>
      <c r="K7" s="32"/>
      <c r="L7" s="32"/>
      <c r="M7" s="32"/>
    </row>
    <row r="8" spans="1:14" ht="14">
      <c r="A8" s="718"/>
      <c r="B8" s="718"/>
      <c r="C8" s="719"/>
      <c r="D8" s="31" t="s">
        <v>32</v>
      </c>
      <c r="E8" s="309">
        <f>H32+J32+L32</f>
        <v>32125858.616666667</v>
      </c>
      <c r="F8" s="190"/>
    </row>
    <row r="9" spans="1:14">
      <c r="A9" s="718"/>
      <c r="B9" s="718"/>
      <c r="C9" s="718"/>
      <c r="D9" s="32"/>
    </row>
    <row r="11" spans="1:14"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 ht="13" customHeight="1">
      <c r="D12" s="33"/>
      <c r="E12" s="720">
        <v>1</v>
      </c>
      <c r="F12" s="720"/>
      <c r="G12" s="717">
        <v>2</v>
      </c>
      <c r="H12" s="717"/>
      <c r="I12" s="712">
        <v>3</v>
      </c>
      <c r="J12" s="712"/>
      <c r="K12" s="717">
        <v>4</v>
      </c>
      <c r="L12" s="717"/>
      <c r="M12" s="712"/>
      <c r="N12" s="712"/>
    </row>
    <row r="13" spans="1:14" ht="15">
      <c r="B13" s="34"/>
      <c r="C13" s="35" t="s">
        <v>33</v>
      </c>
      <c r="D13" s="36" t="s">
        <v>34</v>
      </c>
      <c r="E13" s="710" t="s">
        <v>123</v>
      </c>
      <c r="F13" s="710" t="s">
        <v>35</v>
      </c>
      <c r="G13" s="708" t="s">
        <v>124</v>
      </c>
      <c r="H13" s="708" t="s">
        <v>35</v>
      </c>
      <c r="I13" s="713" t="s">
        <v>125</v>
      </c>
      <c r="J13" s="713" t="s">
        <v>35</v>
      </c>
      <c r="K13" s="715" t="s">
        <v>126</v>
      </c>
      <c r="L13" s="715" t="s">
        <v>35</v>
      </c>
      <c r="M13" s="713" t="s">
        <v>349</v>
      </c>
      <c r="N13" s="713" t="s">
        <v>35</v>
      </c>
    </row>
    <row r="14" spans="1:14" ht="15">
      <c r="B14" s="37" t="s">
        <v>140</v>
      </c>
      <c r="C14" s="38">
        <f>SUM(C15:C26)</f>
        <v>9</v>
      </c>
      <c r="D14" s="39"/>
      <c r="E14" s="711"/>
      <c r="F14" s="711"/>
      <c r="G14" s="709"/>
      <c r="H14" s="709"/>
      <c r="I14" s="714"/>
      <c r="J14" s="714"/>
      <c r="K14" s="716"/>
      <c r="L14" s="716"/>
      <c r="M14" s="714"/>
      <c r="N14" s="714"/>
    </row>
    <row r="15" spans="1:14">
      <c r="B15" s="252" t="s">
        <v>113</v>
      </c>
      <c r="C15" s="178">
        <v>1</v>
      </c>
      <c r="D15" s="181">
        <v>2500000</v>
      </c>
      <c r="E15" s="488"/>
      <c r="F15" s="489">
        <f>D15*E15</f>
        <v>0</v>
      </c>
      <c r="G15" s="41">
        <v>1</v>
      </c>
      <c r="H15" s="42">
        <f>D15*G15</f>
        <v>2500000</v>
      </c>
      <c r="I15" s="178">
        <v>1</v>
      </c>
      <c r="J15" s="40">
        <f>D15*I15</f>
        <v>2500000</v>
      </c>
      <c r="K15" s="41">
        <v>0.5</v>
      </c>
      <c r="L15" s="42">
        <f>D15*K15</f>
        <v>1250000</v>
      </c>
      <c r="M15" s="178"/>
      <c r="N15" s="40">
        <f>M15*D15</f>
        <v>0</v>
      </c>
    </row>
    <row r="16" spans="1:14">
      <c r="B16" s="252" t="s">
        <v>114</v>
      </c>
      <c r="C16" s="178"/>
      <c r="D16" s="181">
        <v>1500000</v>
      </c>
      <c r="E16" s="488"/>
      <c r="F16" s="489">
        <f t="shared" ref="F16:F26" si="0">D16*E16</f>
        <v>0</v>
      </c>
      <c r="G16" s="41"/>
      <c r="H16" s="42">
        <f t="shared" ref="H16:H26" si="1">D16*G16</f>
        <v>0</v>
      </c>
      <c r="I16" s="178"/>
      <c r="J16" s="40">
        <f t="shared" ref="J16:J25" si="2">D16*I16</f>
        <v>0</v>
      </c>
      <c r="K16" s="41">
        <v>0.5</v>
      </c>
      <c r="L16" s="42">
        <f t="shared" ref="L16:L26" si="3">D16*K16</f>
        <v>750000</v>
      </c>
      <c r="M16" s="178"/>
      <c r="N16" s="40">
        <f t="shared" ref="N16:N26" si="4">M16*D16</f>
        <v>0</v>
      </c>
    </row>
    <row r="17" spans="2:14">
      <c r="B17" s="252" t="s">
        <v>114</v>
      </c>
      <c r="C17" s="178">
        <v>1</v>
      </c>
      <c r="D17" s="181">
        <v>1000000</v>
      </c>
      <c r="E17" s="488"/>
      <c r="F17" s="489">
        <f t="shared" si="0"/>
        <v>0</v>
      </c>
      <c r="G17" s="41">
        <v>1</v>
      </c>
      <c r="H17" s="42">
        <f t="shared" si="1"/>
        <v>1000000</v>
      </c>
      <c r="I17" s="178">
        <v>1</v>
      </c>
      <c r="J17" s="40">
        <f t="shared" si="2"/>
        <v>1000000</v>
      </c>
      <c r="K17" s="41"/>
      <c r="L17" s="42">
        <f t="shared" si="3"/>
        <v>0</v>
      </c>
      <c r="M17" s="178"/>
      <c r="N17" s="40">
        <f t="shared" si="4"/>
        <v>0</v>
      </c>
    </row>
    <row r="18" spans="2:14">
      <c r="B18" s="252" t="s">
        <v>116</v>
      </c>
      <c r="C18" s="178">
        <v>1</v>
      </c>
      <c r="D18" s="181">
        <v>1650000</v>
      </c>
      <c r="E18" s="488"/>
      <c r="F18" s="489">
        <f t="shared" si="0"/>
        <v>0</v>
      </c>
      <c r="G18" s="41">
        <v>1</v>
      </c>
      <c r="H18" s="42">
        <f t="shared" si="1"/>
        <v>1650000</v>
      </c>
      <c r="I18" s="178">
        <v>1</v>
      </c>
      <c r="J18" s="40">
        <f t="shared" si="2"/>
        <v>1650000</v>
      </c>
      <c r="K18" s="41"/>
      <c r="L18" s="42">
        <f t="shared" si="3"/>
        <v>0</v>
      </c>
      <c r="M18" s="178"/>
      <c r="N18" s="40">
        <f t="shared" si="4"/>
        <v>0</v>
      </c>
    </row>
    <row r="19" spans="2:14">
      <c r="B19" s="252" t="s">
        <v>36</v>
      </c>
      <c r="C19" s="178"/>
      <c r="D19" s="181">
        <v>900000</v>
      </c>
      <c r="E19" s="488"/>
      <c r="F19" s="489">
        <f t="shared" si="0"/>
        <v>0</v>
      </c>
      <c r="G19" s="41"/>
      <c r="H19" s="42">
        <f t="shared" si="1"/>
        <v>0</v>
      </c>
      <c r="I19" s="178"/>
      <c r="J19" s="40">
        <f t="shared" si="2"/>
        <v>0</v>
      </c>
      <c r="K19" s="41"/>
      <c r="L19" s="42">
        <f t="shared" si="3"/>
        <v>0</v>
      </c>
      <c r="M19" s="178"/>
      <c r="N19" s="40">
        <f t="shared" si="4"/>
        <v>0</v>
      </c>
    </row>
    <row r="20" spans="2:14">
      <c r="B20" s="252" t="s">
        <v>115</v>
      </c>
      <c r="C20" s="178"/>
      <c r="D20" s="181">
        <v>800000</v>
      </c>
      <c r="E20" s="488"/>
      <c r="F20" s="489">
        <f t="shared" si="0"/>
        <v>0</v>
      </c>
      <c r="G20" s="41"/>
      <c r="H20" s="42">
        <f t="shared" si="1"/>
        <v>0</v>
      </c>
      <c r="I20" s="178"/>
      <c r="J20" s="40">
        <f t="shared" si="2"/>
        <v>0</v>
      </c>
      <c r="K20" s="41"/>
      <c r="L20" s="42">
        <f t="shared" si="3"/>
        <v>0</v>
      </c>
      <c r="M20" s="178"/>
      <c r="N20" s="40">
        <f t="shared" si="4"/>
        <v>0</v>
      </c>
    </row>
    <row r="21" spans="2:14">
      <c r="B21" s="417" t="s">
        <v>117</v>
      </c>
      <c r="C21" s="178"/>
      <c r="D21" s="181">
        <v>1000000</v>
      </c>
      <c r="E21" s="488"/>
      <c r="F21" s="489">
        <f t="shared" si="0"/>
        <v>0</v>
      </c>
      <c r="G21" s="41"/>
      <c r="H21" s="42">
        <f t="shared" si="1"/>
        <v>0</v>
      </c>
      <c r="I21" s="178"/>
      <c r="J21" s="40">
        <f t="shared" si="2"/>
        <v>0</v>
      </c>
      <c r="K21" s="41"/>
      <c r="L21" s="42">
        <f t="shared" si="3"/>
        <v>0</v>
      </c>
      <c r="M21" s="178"/>
      <c r="N21" s="40">
        <f t="shared" si="4"/>
        <v>0</v>
      </c>
    </row>
    <row r="22" spans="2:14">
      <c r="B22" s="253" t="s">
        <v>127</v>
      </c>
      <c r="C22" s="187">
        <v>1</v>
      </c>
      <c r="D22" s="188">
        <v>1200000</v>
      </c>
      <c r="E22" s="490"/>
      <c r="F22" s="491">
        <f t="shared" si="0"/>
        <v>0</v>
      </c>
      <c r="G22" s="416">
        <v>1</v>
      </c>
      <c r="H22" s="42">
        <f t="shared" si="1"/>
        <v>1200000</v>
      </c>
      <c r="I22" s="187">
        <v>1</v>
      </c>
      <c r="J22" s="40">
        <f t="shared" si="2"/>
        <v>1200000</v>
      </c>
      <c r="K22" s="416"/>
      <c r="L22" s="42">
        <f t="shared" si="3"/>
        <v>0</v>
      </c>
      <c r="M22" s="187"/>
      <c r="N22" s="40">
        <f t="shared" si="4"/>
        <v>0</v>
      </c>
    </row>
    <row r="23" spans="2:14">
      <c r="B23" s="253" t="s">
        <v>128</v>
      </c>
      <c r="C23" s="187">
        <v>2</v>
      </c>
      <c r="D23" s="188">
        <v>1000000</v>
      </c>
      <c r="E23" s="490"/>
      <c r="F23" s="491">
        <f t="shared" si="0"/>
        <v>0</v>
      </c>
      <c r="G23" s="416">
        <v>2</v>
      </c>
      <c r="H23" s="42">
        <f t="shared" si="1"/>
        <v>2000000</v>
      </c>
      <c r="I23" s="187">
        <v>2</v>
      </c>
      <c r="J23" s="40">
        <f t="shared" si="2"/>
        <v>2000000</v>
      </c>
      <c r="K23" s="416"/>
      <c r="L23" s="42">
        <f t="shared" si="3"/>
        <v>0</v>
      </c>
      <c r="M23" s="187"/>
      <c r="N23" s="40">
        <f t="shared" si="4"/>
        <v>0</v>
      </c>
    </row>
    <row r="24" spans="2:14">
      <c r="B24" s="253" t="s">
        <v>129</v>
      </c>
      <c r="C24" s="187">
        <v>2</v>
      </c>
      <c r="D24" s="188">
        <v>950000</v>
      </c>
      <c r="E24" s="490"/>
      <c r="F24" s="491">
        <f t="shared" si="0"/>
        <v>0</v>
      </c>
      <c r="G24" s="416">
        <v>2</v>
      </c>
      <c r="H24" s="42">
        <f t="shared" si="1"/>
        <v>1900000</v>
      </c>
      <c r="I24" s="187">
        <v>1</v>
      </c>
      <c r="J24" s="40">
        <f t="shared" si="2"/>
        <v>950000</v>
      </c>
      <c r="K24" s="416"/>
      <c r="L24" s="42">
        <f t="shared" si="3"/>
        <v>0</v>
      </c>
      <c r="M24" s="187"/>
      <c r="N24" s="40">
        <f t="shared" si="4"/>
        <v>0</v>
      </c>
    </row>
    <row r="25" spans="2:14">
      <c r="B25" s="253" t="s">
        <v>130</v>
      </c>
      <c r="C25" s="187">
        <v>1</v>
      </c>
      <c r="D25" s="188">
        <v>700000</v>
      </c>
      <c r="E25" s="490"/>
      <c r="F25" s="491">
        <f t="shared" si="0"/>
        <v>0</v>
      </c>
      <c r="G25" s="416">
        <v>1</v>
      </c>
      <c r="H25" s="42">
        <f t="shared" si="1"/>
        <v>700000</v>
      </c>
      <c r="I25" s="187">
        <v>0</v>
      </c>
      <c r="J25" s="40">
        <f t="shared" si="2"/>
        <v>0</v>
      </c>
      <c r="K25" s="416"/>
      <c r="L25" s="42">
        <f t="shared" si="3"/>
        <v>0</v>
      </c>
      <c r="M25" s="187"/>
      <c r="N25" s="40">
        <f t="shared" si="4"/>
        <v>0</v>
      </c>
    </row>
    <row r="26" spans="2:14">
      <c r="B26" s="253" t="s">
        <v>131</v>
      </c>
      <c r="C26" s="187"/>
      <c r="D26" s="188">
        <v>800000</v>
      </c>
      <c r="E26" s="490"/>
      <c r="F26" s="491">
        <f t="shared" si="0"/>
        <v>0</v>
      </c>
      <c r="G26" s="416"/>
      <c r="H26" s="42">
        <f t="shared" si="1"/>
        <v>0</v>
      </c>
      <c r="I26" s="187"/>
      <c r="J26" s="40">
        <f t="shared" ref="J26" si="5">D26*I26</f>
        <v>0</v>
      </c>
      <c r="K26" s="416"/>
      <c r="L26" s="42">
        <f t="shared" si="3"/>
        <v>0</v>
      </c>
      <c r="M26" s="187"/>
      <c r="N26" s="40">
        <f t="shared" si="4"/>
        <v>0</v>
      </c>
    </row>
    <row r="27" spans="2:14" ht="15">
      <c r="B27" s="43"/>
      <c r="C27" s="34"/>
      <c r="D27" s="44"/>
      <c r="E27" s="45">
        <f>SUM(E13:E26)</f>
        <v>0</v>
      </c>
      <c r="F27" s="46">
        <f>SUM(F15:F26)</f>
        <v>0</v>
      </c>
      <c r="G27" s="47">
        <f>SUM(G13:G26)</f>
        <v>9</v>
      </c>
      <c r="H27" s="46">
        <f>SUM(H15:H26)</f>
        <v>10950000</v>
      </c>
      <c r="I27" s="45">
        <f>SUM(I13:I26)</f>
        <v>7</v>
      </c>
      <c r="J27" s="46">
        <f>SUM(J15:J26)</f>
        <v>9300000</v>
      </c>
      <c r="K27" s="47">
        <f>SUM(K13:K26)</f>
        <v>1</v>
      </c>
      <c r="L27" s="46">
        <f>SUM(L15:L26)</f>
        <v>2000000</v>
      </c>
      <c r="M27" s="45">
        <f>SUM(M13:M26)</f>
        <v>0</v>
      </c>
      <c r="N27" s="46">
        <f>SUM(N15:N26)</f>
        <v>0</v>
      </c>
    </row>
    <row r="28" spans="2:14">
      <c r="E28" s="48">
        <v>0.27</v>
      </c>
      <c r="F28" s="49">
        <f>F27*E28</f>
        <v>0</v>
      </c>
      <c r="G28" s="50">
        <v>0.27</v>
      </c>
      <c r="H28" s="51">
        <f>H27*G28</f>
        <v>2956500</v>
      </c>
      <c r="I28" s="48">
        <v>0.27</v>
      </c>
      <c r="J28" s="49">
        <f>J27*I28</f>
        <v>2511000</v>
      </c>
      <c r="K28" s="50">
        <v>0.27</v>
      </c>
      <c r="L28" s="51">
        <f>L27*K28</f>
        <v>540000</v>
      </c>
      <c r="M28" s="48">
        <v>0.27</v>
      </c>
      <c r="N28" s="51">
        <f>N27*M28</f>
        <v>0</v>
      </c>
    </row>
    <row r="29" spans="2:14" ht="40" customHeight="1">
      <c r="E29" s="52" t="s">
        <v>37</v>
      </c>
      <c r="F29" s="53">
        <f>SUM(F27:F28)</f>
        <v>0</v>
      </c>
      <c r="G29" s="54" t="s">
        <v>37</v>
      </c>
      <c r="H29" s="53">
        <f>SUM(H27:H28)</f>
        <v>13906500</v>
      </c>
      <c r="I29" s="52" t="s">
        <v>37</v>
      </c>
      <c r="J29" s="53">
        <f>SUM(J27:J28)</f>
        <v>11811000</v>
      </c>
      <c r="K29" s="54" t="s">
        <v>37</v>
      </c>
      <c r="L29" s="53">
        <f>SUM(L27:L28)</f>
        <v>2540000</v>
      </c>
      <c r="M29" s="52" t="s">
        <v>37</v>
      </c>
      <c r="N29" s="53">
        <f>SUM(N27:N28)</f>
        <v>0</v>
      </c>
    </row>
    <row r="30" spans="2:14" ht="20" customHeight="1">
      <c r="E30" s="57" t="s">
        <v>38</v>
      </c>
      <c r="F30" s="306"/>
      <c r="G30" s="55"/>
      <c r="H30" s="306">
        <v>10077894.666666666</v>
      </c>
      <c r="I30" s="56"/>
      <c r="J30" s="630">
        <v>10138057</v>
      </c>
      <c r="K30" s="55"/>
      <c r="L30" s="630">
        <f>SUM(L18:L29)</f>
        <v>5080000</v>
      </c>
      <c r="M30" s="56"/>
      <c r="N30" s="56"/>
    </row>
    <row r="31" spans="2:14" ht="20" customHeight="1">
      <c r="E31" s="57" t="s">
        <v>109</v>
      </c>
      <c r="F31" s="307"/>
      <c r="G31" s="55"/>
      <c r="H31" s="307">
        <f>H30*0.27</f>
        <v>2721031.56</v>
      </c>
      <c r="I31" s="56"/>
      <c r="J31" s="307">
        <f>J30*0.27</f>
        <v>2737275.39</v>
      </c>
      <c r="K31" s="55"/>
      <c r="L31" s="307">
        <f>L30*0.27</f>
        <v>1371600</v>
      </c>
      <c r="M31" s="56"/>
      <c r="N31" s="56"/>
    </row>
    <row r="32" spans="2:14" ht="28">
      <c r="E32" s="57" t="s">
        <v>37</v>
      </c>
      <c r="F32" s="307"/>
      <c r="G32" s="55"/>
      <c r="H32" s="307">
        <f>+H31+H30</f>
        <v>12798926.226666667</v>
      </c>
      <c r="I32" s="56"/>
      <c r="J32" s="307">
        <f>+J31+J30</f>
        <v>12875332.390000001</v>
      </c>
      <c r="K32" s="55"/>
      <c r="L32" s="307">
        <f>+L31+L30</f>
        <v>6451600</v>
      </c>
      <c r="M32" s="56"/>
      <c r="N32" s="56"/>
    </row>
    <row r="37" spans="2:3">
      <c r="B37" s="705" t="s">
        <v>475</v>
      </c>
      <c r="C37" s="706"/>
    </row>
    <row r="38" spans="2:3">
      <c r="B38" s="707" t="s">
        <v>478</v>
      </c>
      <c r="C38" s="707"/>
    </row>
    <row r="39" spans="2:3">
      <c r="B39" s="574"/>
      <c r="C39" s="32"/>
    </row>
    <row r="40" spans="2:3" ht="14">
      <c r="B40" s="22" t="s">
        <v>476</v>
      </c>
      <c r="C40" s="575">
        <v>13303409</v>
      </c>
    </row>
    <row r="41" spans="2:3" ht="14">
      <c r="B41" s="22" t="s">
        <v>477</v>
      </c>
      <c r="C41" s="575">
        <v>839047</v>
      </c>
    </row>
    <row r="42" spans="2:3">
      <c r="C42" s="576">
        <f>SUM(C40:C41)</f>
        <v>14142456</v>
      </c>
    </row>
    <row r="44" spans="2:3">
      <c r="B44" s="707" t="s">
        <v>479</v>
      </c>
      <c r="C44" s="707"/>
    </row>
    <row r="45" spans="2:3">
      <c r="B45" s="574"/>
      <c r="C45" s="32"/>
    </row>
    <row r="46" spans="2:3" ht="14">
      <c r="B46" s="22" t="s">
        <v>476</v>
      </c>
      <c r="C46" s="575"/>
    </row>
    <row r="47" spans="2:3" ht="14">
      <c r="B47" s="22" t="s">
        <v>477</v>
      </c>
      <c r="C47" s="575"/>
    </row>
    <row r="48" spans="2:3">
      <c r="C48" s="576"/>
    </row>
  </sheetData>
  <mergeCells count="21">
    <mergeCell ref="A1:C9"/>
    <mergeCell ref="E12:F12"/>
    <mergeCell ref="G12:H12"/>
    <mergeCell ref="F2:I3"/>
    <mergeCell ref="F5:I6"/>
    <mergeCell ref="M12:N12"/>
    <mergeCell ref="M13:M14"/>
    <mergeCell ref="N13:N14"/>
    <mergeCell ref="I13:I14"/>
    <mergeCell ref="J13:J14"/>
    <mergeCell ref="K13:K14"/>
    <mergeCell ref="L13:L14"/>
    <mergeCell ref="I12:J12"/>
    <mergeCell ref="K12:L12"/>
    <mergeCell ref="B37:C37"/>
    <mergeCell ref="B38:C38"/>
    <mergeCell ref="B44:C44"/>
    <mergeCell ref="G13:G14"/>
    <mergeCell ref="H13:H14"/>
    <mergeCell ref="E13:E14"/>
    <mergeCell ref="F13:F14"/>
  </mergeCells>
  <phoneticPr fontId="11" type="noConversion"/>
  <pageMargins left="1" right="1" top="1" bottom="1" header="0.25" footer="0.25"/>
  <pageSetup scale="51" orientation="landscape" r:id="rId1"/>
  <headerFooter>
    <oddFooter>&amp;C&amp;"Helvetica,Regular"&amp;12&amp;K000000&amp;P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57"/>
  <sheetViews>
    <sheetView showGridLines="0" topLeftCell="A3" zoomScale="80" zoomScaleNormal="80" workbookViewId="0">
      <selection activeCell="H58" sqref="H58"/>
    </sheetView>
  </sheetViews>
  <sheetFormatPr baseColWidth="10" defaultColWidth="10.83203125" defaultRowHeight="13"/>
  <cols>
    <col min="1" max="1" width="18.1640625" style="34" customWidth="1"/>
    <col min="2" max="2" width="44" style="34" customWidth="1"/>
    <col min="3" max="12" width="20.83203125" style="34" customWidth="1"/>
    <col min="13" max="16384" width="10.83203125" style="34"/>
  </cols>
  <sheetData>
    <row r="1" spans="1:7">
      <c r="A1" s="730"/>
      <c r="B1" s="730"/>
      <c r="C1" s="730"/>
    </row>
    <row r="2" spans="1:7">
      <c r="A2" s="730"/>
      <c r="B2" s="730"/>
      <c r="C2" s="730"/>
    </row>
    <row r="3" spans="1:7">
      <c r="A3" s="730"/>
      <c r="B3" s="730"/>
      <c r="C3" s="730"/>
    </row>
    <row r="4" spans="1:7">
      <c r="A4" s="730"/>
      <c r="B4" s="730"/>
      <c r="C4" s="730"/>
    </row>
    <row r="5" spans="1:7">
      <c r="A5" s="730"/>
      <c r="B5" s="730"/>
      <c r="C5" s="730"/>
      <c r="D5" s="721" t="s">
        <v>58</v>
      </c>
      <c r="E5" s="722"/>
      <c r="F5" s="722"/>
      <c r="G5" s="723"/>
    </row>
    <row r="6" spans="1:7">
      <c r="A6" s="730"/>
      <c r="B6" s="730"/>
      <c r="C6" s="730"/>
      <c r="D6" s="724"/>
      <c r="E6" s="725"/>
      <c r="F6" s="725"/>
      <c r="G6" s="726"/>
    </row>
    <row r="7" spans="1:7">
      <c r="A7" s="730"/>
      <c r="B7" s="730"/>
      <c r="C7" s="730"/>
    </row>
    <row r="8" spans="1:7" ht="13" customHeight="1">
      <c r="A8" s="730"/>
      <c r="B8" s="730"/>
      <c r="C8" s="730"/>
    </row>
    <row r="10" spans="1:7" ht="16" customHeight="1">
      <c r="A10" s="731" t="s">
        <v>89</v>
      </c>
      <c r="B10" s="732" t="s">
        <v>90</v>
      </c>
      <c r="C10" s="732"/>
      <c r="D10" s="732"/>
      <c r="E10" s="732"/>
      <c r="F10" s="732"/>
    </row>
    <row r="11" spans="1:7">
      <c r="A11" s="731"/>
      <c r="B11" s="732"/>
      <c r="C11" s="732"/>
      <c r="D11" s="732"/>
      <c r="E11" s="732"/>
      <c r="F11" s="732"/>
    </row>
    <row r="13" spans="1:7" ht="20" customHeight="1">
      <c r="A13" s="733" t="s">
        <v>91</v>
      </c>
      <c r="B13" s="733"/>
      <c r="C13" s="733"/>
      <c r="D13" s="733"/>
      <c r="E13" s="733"/>
      <c r="F13" s="733"/>
    </row>
    <row r="15" spans="1:7" ht="20" customHeight="1">
      <c r="A15" s="133" t="s">
        <v>92</v>
      </c>
      <c r="B15" s="729"/>
      <c r="C15" s="729"/>
      <c r="D15" s="729"/>
      <c r="E15" s="729"/>
      <c r="F15" s="729"/>
    </row>
    <row r="16" spans="1:7" ht="20" customHeight="1">
      <c r="A16" s="133" t="s">
        <v>93</v>
      </c>
      <c r="B16" s="135"/>
      <c r="C16" s="134"/>
      <c r="D16" s="134"/>
      <c r="E16" s="134"/>
      <c r="F16" s="134"/>
    </row>
    <row r="17" spans="1:12" ht="20" customHeight="1">
      <c r="A17" s="133" t="s">
        <v>94</v>
      </c>
      <c r="B17" s="136">
        <v>45870</v>
      </c>
      <c r="C17" s="133" t="s">
        <v>95</v>
      </c>
      <c r="D17" s="136">
        <f>B17+55</f>
        <v>45925</v>
      </c>
      <c r="E17" s="730"/>
      <c r="F17" s="730"/>
      <c r="G17" s="730"/>
      <c r="H17" s="730"/>
      <c r="I17" s="730"/>
      <c r="J17" s="730"/>
    </row>
    <row r="18" spans="1:12" ht="20" customHeight="1">
      <c r="A18" s="133"/>
      <c r="B18" s="137"/>
      <c r="C18" s="133"/>
      <c r="D18" s="45"/>
      <c r="E18" s="45"/>
      <c r="F18" s="45"/>
      <c r="G18" s="45"/>
      <c r="H18" s="45"/>
      <c r="I18" s="45"/>
      <c r="J18" s="45"/>
      <c r="K18" s="45"/>
      <c r="L18" s="45"/>
    </row>
    <row r="19" spans="1:12" s="22" customFormat="1" ht="28">
      <c r="A19" s="138" t="s">
        <v>2</v>
      </c>
      <c r="B19" s="138" t="s">
        <v>41</v>
      </c>
      <c r="C19" s="138" t="s">
        <v>40</v>
      </c>
      <c r="D19" s="138" t="s">
        <v>96</v>
      </c>
      <c r="E19" s="138" t="s">
        <v>97</v>
      </c>
      <c r="F19" s="138" t="s">
        <v>98</v>
      </c>
      <c r="G19" s="139" t="s">
        <v>79</v>
      </c>
      <c r="H19" s="138" t="s">
        <v>42</v>
      </c>
    </row>
    <row r="20" spans="1:12" s="22" customFormat="1" ht="15" customHeight="1">
      <c r="A20" s="123">
        <v>1</v>
      </c>
      <c r="B20" s="150" t="str">
        <f>+Itemizado!F112</f>
        <v>Escombros</v>
      </c>
      <c r="C20" s="152"/>
      <c r="D20" s="256">
        <f>+Itemizado!G112</f>
        <v>2079595</v>
      </c>
      <c r="E20" s="147">
        <v>0.9</v>
      </c>
      <c r="F20" s="257">
        <f>D20*E20</f>
        <v>1871635.5</v>
      </c>
      <c r="G20" s="234"/>
      <c r="H20" s="258">
        <f t="shared" ref="H20:H28" si="0">+F20-G20</f>
        <v>1871635.5</v>
      </c>
      <c r="I20" s="421"/>
    </row>
    <row r="21" spans="1:12" s="22" customFormat="1" ht="15" customHeight="1">
      <c r="A21" s="158">
        <v>2</v>
      </c>
      <c r="B21" s="150" t="str">
        <f>+Itemizado!F113</f>
        <v>espejo y marco puerta</v>
      </c>
      <c r="C21" s="152"/>
      <c r="D21" s="256">
        <f>+Itemizado!G113</f>
        <v>518400.00000000006</v>
      </c>
      <c r="E21" s="147">
        <v>0.1</v>
      </c>
      <c r="F21" s="257">
        <f t="shared" ref="F21:F27" si="1">D21*E21</f>
        <v>51840.000000000007</v>
      </c>
      <c r="G21" s="235"/>
      <c r="H21" s="258">
        <f t="shared" si="0"/>
        <v>51840.000000000007</v>
      </c>
      <c r="I21" s="421"/>
    </row>
    <row r="22" spans="1:12" s="22" customFormat="1" ht="15" customHeight="1">
      <c r="A22" s="123">
        <v>3</v>
      </c>
      <c r="B22" s="150" t="str">
        <f>+Itemizado!F114</f>
        <v>ceramista</v>
      </c>
      <c r="C22" s="152"/>
      <c r="D22" s="256">
        <f>+Itemizado!G114</f>
        <v>7802282.347058</v>
      </c>
      <c r="E22" s="147">
        <v>0.35</v>
      </c>
      <c r="F22" s="257">
        <f t="shared" si="1"/>
        <v>2730798.8214702997</v>
      </c>
      <c r="G22" s="235"/>
      <c r="H22" s="258">
        <f t="shared" si="0"/>
        <v>2730798.8214702997</v>
      </c>
      <c r="I22" s="421"/>
    </row>
    <row r="23" spans="1:12" s="22" customFormat="1" ht="15" customHeight="1">
      <c r="A23" s="158">
        <v>4</v>
      </c>
      <c r="B23" s="150" t="str">
        <f>+Itemizado!F115</f>
        <v>Sanitario</v>
      </c>
      <c r="C23" s="152"/>
      <c r="D23" s="256">
        <f>+Itemizado!G115</f>
        <v>7813327.7000000002</v>
      </c>
      <c r="E23" s="147">
        <v>0.4</v>
      </c>
      <c r="F23" s="257">
        <f t="shared" si="1"/>
        <v>3125331.08</v>
      </c>
      <c r="G23" s="235"/>
      <c r="H23" s="258">
        <f t="shared" si="0"/>
        <v>3125331.08</v>
      </c>
      <c r="I23" s="421"/>
    </row>
    <row r="24" spans="1:12" s="22" customFormat="1" ht="15" customHeight="1">
      <c r="A24" s="123">
        <v>5</v>
      </c>
      <c r="B24" s="150" t="str">
        <f>+Itemizado!F116</f>
        <v>Divissión</v>
      </c>
      <c r="C24" s="152"/>
      <c r="D24" s="256">
        <f>+Itemizado!G116</f>
        <v>5221478.62</v>
      </c>
      <c r="E24" s="147">
        <v>0.8</v>
      </c>
      <c r="F24" s="257">
        <f t="shared" si="1"/>
        <v>4177182.8960000002</v>
      </c>
      <c r="G24" s="235"/>
      <c r="H24" s="258">
        <f t="shared" si="0"/>
        <v>4177182.8960000002</v>
      </c>
      <c r="I24" s="421"/>
    </row>
    <row r="25" spans="1:12" s="22" customFormat="1" ht="15" customHeight="1">
      <c r="A25" s="158">
        <v>6</v>
      </c>
      <c r="B25" s="150" t="str">
        <f>+Itemizado!F117</f>
        <v>mueblista</v>
      </c>
      <c r="C25" s="152"/>
      <c r="D25" s="256">
        <f>+Itemizado!G117</f>
        <v>4865948.4000000004</v>
      </c>
      <c r="E25" s="147">
        <v>0.8</v>
      </c>
      <c r="F25" s="257">
        <f t="shared" si="1"/>
        <v>3892758.7200000007</v>
      </c>
      <c r="G25" s="235"/>
      <c r="H25" s="258">
        <f t="shared" si="0"/>
        <v>3892758.7200000007</v>
      </c>
      <c r="I25" s="421"/>
    </row>
    <row r="26" spans="1:12" s="22" customFormat="1" ht="15" customHeight="1">
      <c r="A26" s="123">
        <v>7</v>
      </c>
      <c r="B26" s="150" t="str">
        <f>+Itemizado!F118</f>
        <v xml:space="preserve">EEMM </v>
      </c>
      <c r="C26" s="152"/>
      <c r="D26" s="256">
        <f>+Itemizado!G118</f>
        <v>0</v>
      </c>
      <c r="E26" s="147">
        <v>0.7</v>
      </c>
      <c r="F26" s="257">
        <f t="shared" si="1"/>
        <v>0</v>
      </c>
      <c r="G26" s="235"/>
      <c r="H26" s="258">
        <f t="shared" si="0"/>
        <v>0</v>
      </c>
      <c r="I26" s="421"/>
    </row>
    <row r="27" spans="1:12" s="22" customFormat="1" ht="15" customHeight="1">
      <c r="A27" s="158">
        <v>8</v>
      </c>
      <c r="B27" s="150" t="str">
        <f>+Itemizado!F119</f>
        <v>Pintura</v>
      </c>
      <c r="C27" s="152"/>
      <c r="D27" s="256">
        <f>+Itemizado!G119</f>
        <v>0</v>
      </c>
      <c r="E27" s="147">
        <v>0.95</v>
      </c>
      <c r="F27" s="257">
        <f t="shared" si="1"/>
        <v>0</v>
      </c>
      <c r="G27" s="235"/>
      <c r="H27" s="258">
        <f t="shared" si="0"/>
        <v>0</v>
      </c>
      <c r="I27" s="421"/>
    </row>
    <row r="28" spans="1:12" s="22" customFormat="1" ht="15" customHeight="1">
      <c r="A28" s="158"/>
      <c r="B28" s="150"/>
      <c r="C28" s="152"/>
      <c r="D28" s="256"/>
      <c r="E28" s="147"/>
      <c r="F28" s="257">
        <f t="shared" ref="F28" si="2">D28*E28</f>
        <v>0</v>
      </c>
      <c r="G28" s="149"/>
      <c r="H28" s="258">
        <f t="shared" si="0"/>
        <v>0</v>
      </c>
    </row>
    <row r="29" spans="1:12" s="156" customFormat="1" ht="20" customHeight="1">
      <c r="A29" s="728" t="s">
        <v>99</v>
      </c>
      <c r="B29" s="728"/>
      <c r="C29" s="153"/>
      <c r="D29" s="192">
        <f>SUM(D20:D28)</f>
        <v>28301032.067058004</v>
      </c>
      <c r="E29" s="154"/>
      <c r="F29" s="192">
        <f>SUM(F20:F28)</f>
        <v>15849547.0174703</v>
      </c>
      <c r="G29" s="155">
        <f>SUM(G20:G28)</f>
        <v>0</v>
      </c>
      <c r="H29" s="192">
        <f>SUM(H20:H28)</f>
        <v>15849547.0174703</v>
      </c>
    </row>
    <row r="30" spans="1:12" s="22" customFormat="1" ht="15" customHeight="1">
      <c r="A30" s="145"/>
      <c r="B30" s="150"/>
      <c r="C30" s="151"/>
      <c r="D30" s="196"/>
      <c r="E30" s="157"/>
      <c r="F30" s="191"/>
      <c r="G30" s="148"/>
      <c r="H30" s="198"/>
    </row>
    <row r="31" spans="1:12" s="22" customFormat="1">
      <c r="A31" s="140"/>
      <c r="B31" s="141" t="s">
        <v>100</v>
      </c>
      <c r="C31" s="142"/>
      <c r="D31" s="197"/>
      <c r="E31" s="143"/>
      <c r="F31" s="193"/>
      <c r="G31" s="144"/>
      <c r="H31" s="199"/>
    </row>
    <row r="32" spans="1:12" s="22" customFormat="1">
      <c r="A32" s="158">
        <v>1</v>
      </c>
      <c r="B32" s="150"/>
      <c r="C32" s="183"/>
      <c r="D32" s="196"/>
      <c r="E32" s="147"/>
      <c r="F32" s="191">
        <f>D32*E32</f>
        <v>0</v>
      </c>
      <c r="G32" s="149"/>
      <c r="H32" s="198">
        <f t="shared" ref="H32:H39" si="3">+F32-G32</f>
        <v>0</v>
      </c>
      <c r="I32" s="421"/>
    </row>
    <row r="33" spans="1:9" s="22" customFormat="1">
      <c r="A33" s="158">
        <v>2</v>
      </c>
      <c r="B33" s="150"/>
      <c r="C33" s="182"/>
      <c r="D33" s="196"/>
      <c r="E33" s="147"/>
      <c r="F33" s="191">
        <f t="shared" ref="F33:F36" si="4">D33*E33</f>
        <v>0</v>
      </c>
      <c r="G33" s="149"/>
      <c r="H33" s="198">
        <f t="shared" si="3"/>
        <v>0</v>
      </c>
      <c r="I33" s="421"/>
    </row>
    <row r="34" spans="1:9" s="22" customFormat="1">
      <c r="A34" s="158">
        <v>3</v>
      </c>
      <c r="B34" s="150"/>
      <c r="C34" s="182"/>
      <c r="D34" s="196"/>
      <c r="E34" s="147"/>
      <c r="F34" s="191">
        <f t="shared" si="4"/>
        <v>0</v>
      </c>
      <c r="G34" s="149"/>
      <c r="H34" s="198">
        <f t="shared" si="3"/>
        <v>0</v>
      </c>
      <c r="I34" s="201"/>
    </row>
    <row r="35" spans="1:9" s="22" customFormat="1">
      <c r="A35" s="158">
        <v>4</v>
      </c>
      <c r="B35" s="150"/>
      <c r="C35" s="182"/>
      <c r="D35" s="196"/>
      <c r="E35" s="147"/>
      <c r="F35" s="191">
        <f t="shared" si="4"/>
        <v>0</v>
      </c>
      <c r="G35" s="149"/>
      <c r="H35" s="198">
        <f t="shared" si="3"/>
        <v>0</v>
      </c>
      <c r="I35" s="201"/>
    </row>
    <row r="36" spans="1:9" s="22" customFormat="1">
      <c r="A36" s="158"/>
      <c r="B36" s="150"/>
      <c r="C36" s="182"/>
      <c r="D36" s="196"/>
      <c r="E36" s="147"/>
      <c r="F36" s="191">
        <f t="shared" si="4"/>
        <v>0</v>
      </c>
      <c r="G36" s="149"/>
      <c r="H36" s="198">
        <f t="shared" si="3"/>
        <v>0</v>
      </c>
      <c r="I36" s="201"/>
    </row>
    <row r="37" spans="1:9" s="156" customFormat="1" ht="20" customHeight="1">
      <c r="A37" s="728" t="s">
        <v>101</v>
      </c>
      <c r="B37" s="728"/>
      <c r="C37" s="153"/>
      <c r="D37" s="192">
        <f>SUM(D32:D36)</f>
        <v>0</v>
      </c>
      <c r="E37" s="154"/>
      <c r="F37" s="192">
        <f>SUM(F32:F36)</f>
        <v>0</v>
      </c>
      <c r="G37" s="155">
        <f>SUM(G32:G36)</f>
        <v>0</v>
      </c>
      <c r="H37" s="192">
        <f>SUM(H32:H36)</f>
        <v>0</v>
      </c>
    </row>
    <row r="38" spans="1:9" s="22" customFormat="1">
      <c r="A38" s="158"/>
      <c r="B38" s="150"/>
      <c r="C38" s="151"/>
      <c r="D38" s="196"/>
      <c r="E38" s="157"/>
      <c r="F38" s="191"/>
      <c r="G38" s="159"/>
      <c r="H38" s="198"/>
    </row>
    <row r="39" spans="1:9" s="22" customFormat="1">
      <c r="A39" s="145"/>
      <c r="B39" s="160"/>
      <c r="C39" s="161"/>
      <c r="D39" s="198"/>
      <c r="E39" s="161"/>
      <c r="F39" s="194"/>
      <c r="G39" s="162"/>
      <c r="H39" s="198">
        <f t="shared" si="3"/>
        <v>0</v>
      </c>
    </row>
    <row r="40" spans="1:9" s="156" customFormat="1" ht="20" customHeight="1">
      <c r="A40" s="728" t="s">
        <v>102</v>
      </c>
      <c r="B40" s="728"/>
      <c r="C40" s="153"/>
      <c r="D40" s="192">
        <f>D29+D37</f>
        <v>28301032.067058004</v>
      </c>
      <c r="E40" s="154"/>
      <c r="F40" s="192">
        <f>F29+F37</f>
        <v>15849547.0174703</v>
      </c>
      <c r="G40" s="192">
        <f>+E57</f>
        <v>19701711</v>
      </c>
      <c r="H40" s="192">
        <f>H29+H37</f>
        <v>15849547.0174703</v>
      </c>
    </row>
    <row r="41" spans="1:9" s="22" customFormat="1">
      <c r="D41" s="189"/>
    </row>
    <row r="44" spans="1:9">
      <c r="B44" s="34" t="s">
        <v>358</v>
      </c>
    </row>
    <row r="45" spans="1:9">
      <c r="D45" s="492"/>
    </row>
    <row r="46" spans="1:9">
      <c r="B46" s="496" t="s">
        <v>359</v>
      </c>
      <c r="C46" s="497" t="s">
        <v>360</v>
      </c>
      <c r="D46" s="631" t="s">
        <v>361</v>
      </c>
      <c r="E46" s="499">
        <v>1225000</v>
      </c>
    </row>
    <row r="47" spans="1:9">
      <c r="B47" s="496" t="s">
        <v>362</v>
      </c>
      <c r="C47" s="497" t="s">
        <v>363</v>
      </c>
      <c r="D47" s="631" t="s">
        <v>364</v>
      </c>
      <c r="E47" s="499">
        <v>1225000</v>
      </c>
    </row>
    <row r="48" spans="1:9">
      <c r="B48" s="493" t="s">
        <v>365</v>
      </c>
      <c r="C48" s="494" t="s">
        <v>366</v>
      </c>
      <c r="D48" s="501" t="s">
        <v>367</v>
      </c>
      <c r="E48" s="495">
        <v>6150000</v>
      </c>
    </row>
    <row r="49" spans="2:5">
      <c r="B49" s="493" t="s">
        <v>480</v>
      </c>
      <c r="C49" s="500" t="s">
        <v>481</v>
      </c>
      <c r="D49" s="501" t="s">
        <v>368</v>
      </c>
      <c r="E49" s="495">
        <v>4050000</v>
      </c>
    </row>
    <row r="50" spans="2:5">
      <c r="B50" s="493" t="s">
        <v>369</v>
      </c>
      <c r="C50" s="500" t="s">
        <v>370</v>
      </c>
      <c r="D50" s="501" t="s">
        <v>371</v>
      </c>
      <c r="E50" s="495">
        <v>2415585</v>
      </c>
    </row>
    <row r="51" spans="2:5">
      <c r="B51" s="493" t="s">
        <v>482</v>
      </c>
      <c r="C51" s="500" t="s">
        <v>483</v>
      </c>
      <c r="D51" s="501" t="s">
        <v>372</v>
      </c>
      <c r="E51" s="495">
        <v>3071126</v>
      </c>
    </row>
    <row r="52" spans="2:5">
      <c r="B52" s="502" t="s">
        <v>373</v>
      </c>
      <c r="C52" s="503"/>
      <c r="D52" s="504" t="s">
        <v>374</v>
      </c>
      <c r="E52" s="505">
        <v>0</v>
      </c>
    </row>
    <row r="53" spans="2:5">
      <c r="B53" s="632" t="s">
        <v>375</v>
      </c>
      <c r="C53" s="500" t="s">
        <v>376</v>
      </c>
      <c r="D53" s="501" t="s">
        <v>377</v>
      </c>
      <c r="E53" s="495">
        <v>335000</v>
      </c>
    </row>
    <row r="54" spans="2:5">
      <c r="B54" s="633" t="s">
        <v>378</v>
      </c>
      <c r="C54" s="503"/>
      <c r="D54" s="634" t="s">
        <v>484</v>
      </c>
      <c r="E54" s="505">
        <v>1230000</v>
      </c>
    </row>
    <row r="55" spans="2:5">
      <c r="B55" s="34" t="s">
        <v>485</v>
      </c>
      <c r="E55" s="492"/>
    </row>
    <row r="57" spans="2:5">
      <c r="E57" s="506">
        <f>SUM(E46:E56)</f>
        <v>19701711</v>
      </c>
    </row>
  </sheetData>
  <mergeCells count="12">
    <mergeCell ref="G17:H17"/>
    <mergeCell ref="I17:J17"/>
    <mergeCell ref="A1:C8"/>
    <mergeCell ref="A10:A11"/>
    <mergeCell ref="B10:F11"/>
    <mergeCell ref="D5:G6"/>
    <mergeCell ref="A13:F13"/>
    <mergeCell ref="A29:B29"/>
    <mergeCell ref="A37:B37"/>
    <mergeCell ref="A40:B40"/>
    <mergeCell ref="B15:F15"/>
    <mergeCell ref="E17:F17"/>
  </mergeCells>
  <phoneticPr fontId="11" type="noConversion"/>
  <pageMargins left="1" right="1" top="1" bottom="1" header="0.25" footer="0.25"/>
  <pageSetup scale="43" orientation="landscape" r:id="rId1"/>
  <headerFooter>
    <oddFooter>&amp;C&amp;"Helvetica,Regular"&amp;12&amp;K000000&amp;P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C59D0-D620-4925-AB88-36319178E6C2}">
  <sheetPr>
    <pageSetUpPr fitToPage="1"/>
  </sheetPr>
  <dimension ref="A1:L55"/>
  <sheetViews>
    <sheetView showGridLines="0" topLeftCell="A16" zoomScale="80" zoomScaleNormal="80" workbookViewId="0">
      <selection activeCell="F52" sqref="F52"/>
    </sheetView>
  </sheetViews>
  <sheetFormatPr baseColWidth="10" defaultColWidth="10.83203125" defaultRowHeight="13"/>
  <cols>
    <col min="1" max="1" width="18.1640625" style="34" customWidth="1"/>
    <col min="2" max="2" width="44" style="34" customWidth="1"/>
    <col min="3" max="12" width="20.83203125" style="34" customWidth="1"/>
    <col min="13" max="16384" width="10.83203125" style="34"/>
  </cols>
  <sheetData>
    <row r="1" spans="1:7">
      <c r="A1" s="730"/>
      <c r="B1" s="730"/>
      <c r="C1" s="730"/>
    </row>
    <row r="2" spans="1:7">
      <c r="A2" s="730"/>
      <c r="B2" s="730"/>
      <c r="C2" s="730"/>
    </row>
    <row r="3" spans="1:7">
      <c r="A3" s="730"/>
      <c r="B3" s="730"/>
      <c r="C3" s="730"/>
    </row>
    <row r="4" spans="1:7">
      <c r="A4" s="730"/>
      <c r="B4" s="730"/>
      <c r="C4" s="730"/>
    </row>
    <row r="5" spans="1:7">
      <c r="A5" s="730"/>
      <c r="B5" s="730"/>
      <c r="C5" s="730"/>
      <c r="D5" s="721" t="s">
        <v>58</v>
      </c>
      <c r="E5" s="722"/>
      <c r="F5" s="722"/>
      <c r="G5" s="723"/>
    </row>
    <row r="6" spans="1:7">
      <c r="A6" s="730"/>
      <c r="B6" s="730"/>
      <c r="C6" s="730"/>
      <c r="D6" s="724"/>
      <c r="E6" s="725"/>
      <c r="F6" s="725"/>
      <c r="G6" s="726"/>
    </row>
    <row r="7" spans="1:7">
      <c r="A7" s="730"/>
      <c r="B7" s="730"/>
      <c r="C7" s="730"/>
    </row>
    <row r="8" spans="1:7" ht="13" customHeight="1">
      <c r="A8" s="730"/>
      <c r="B8" s="730"/>
      <c r="C8" s="730"/>
    </row>
    <row r="10" spans="1:7" ht="16" customHeight="1">
      <c r="A10" s="731" t="s">
        <v>89</v>
      </c>
      <c r="B10" s="732" t="s">
        <v>90</v>
      </c>
      <c r="C10" s="732"/>
      <c r="D10" s="732"/>
      <c r="E10" s="732"/>
      <c r="F10" s="732"/>
    </row>
    <row r="11" spans="1:7">
      <c r="A11" s="731"/>
      <c r="B11" s="732"/>
      <c r="C11" s="732"/>
      <c r="D11" s="732"/>
      <c r="E11" s="732"/>
      <c r="F11" s="732"/>
    </row>
    <row r="13" spans="1:7" ht="20" customHeight="1">
      <c r="A13" s="733" t="s">
        <v>91</v>
      </c>
      <c r="B13" s="733"/>
      <c r="C13" s="733"/>
      <c r="D13" s="733"/>
      <c r="E13" s="733"/>
      <c r="F13" s="733"/>
    </row>
    <row r="15" spans="1:7" ht="20" customHeight="1">
      <c r="A15" s="133" t="s">
        <v>92</v>
      </c>
      <c r="B15" s="729"/>
      <c r="C15" s="729"/>
      <c r="D15" s="729"/>
      <c r="E15" s="729"/>
      <c r="F15" s="729"/>
    </row>
    <row r="16" spans="1:7" ht="20" customHeight="1">
      <c r="A16" s="133" t="s">
        <v>93</v>
      </c>
      <c r="B16" s="135"/>
      <c r="C16" s="134"/>
      <c r="D16" s="134"/>
      <c r="E16" s="134"/>
      <c r="F16" s="134"/>
    </row>
    <row r="17" spans="1:12" ht="20" customHeight="1">
      <c r="A17" s="133" t="s">
        <v>94</v>
      </c>
      <c r="B17" s="136">
        <v>45843</v>
      </c>
      <c r="C17" s="133" t="s">
        <v>95</v>
      </c>
      <c r="D17" s="136">
        <v>45935</v>
      </c>
      <c r="E17" s="730"/>
      <c r="F17" s="730"/>
      <c r="G17" s="730"/>
      <c r="H17" s="730"/>
      <c r="I17" s="730"/>
      <c r="J17" s="730"/>
    </row>
    <row r="18" spans="1:12" ht="20" customHeight="1">
      <c r="A18" s="133"/>
      <c r="B18" s="137"/>
      <c r="C18" s="133"/>
      <c r="D18" s="45"/>
      <c r="E18" s="45"/>
      <c r="F18" s="45"/>
      <c r="G18" s="45"/>
      <c r="H18" s="45"/>
      <c r="I18" s="45"/>
      <c r="J18" s="45"/>
      <c r="K18" s="45"/>
      <c r="L18" s="45"/>
    </row>
    <row r="19" spans="1:12" s="22" customFormat="1" ht="28">
      <c r="A19" s="138" t="s">
        <v>2</v>
      </c>
      <c r="B19" s="138" t="s">
        <v>41</v>
      </c>
      <c r="C19" s="138" t="s">
        <v>40</v>
      </c>
      <c r="D19" s="138" t="s">
        <v>96</v>
      </c>
      <c r="E19" s="138" t="s">
        <v>97</v>
      </c>
      <c r="F19" s="138" t="s">
        <v>98</v>
      </c>
      <c r="G19" s="139" t="s">
        <v>79</v>
      </c>
      <c r="H19" s="138" t="s">
        <v>42</v>
      </c>
    </row>
    <row r="20" spans="1:12" s="22" customFormat="1" ht="15" customHeight="1">
      <c r="A20" s="158">
        <v>1</v>
      </c>
      <c r="B20" s="498" t="s">
        <v>367</v>
      </c>
      <c r="C20" s="496" t="s">
        <v>365</v>
      </c>
      <c r="D20" s="580"/>
      <c r="E20" s="581"/>
      <c r="F20" s="499">
        <v>65000</v>
      </c>
      <c r="G20" s="234"/>
      <c r="H20" s="258">
        <f t="shared" ref="H20:H30" si="0">+F20-G20</f>
        <v>65000</v>
      </c>
    </row>
    <row r="21" spans="1:12" s="22" customFormat="1" ht="15" customHeight="1">
      <c r="A21" s="158">
        <v>2</v>
      </c>
      <c r="B21" s="498" t="s">
        <v>371</v>
      </c>
      <c r="C21" s="496" t="s">
        <v>369</v>
      </c>
      <c r="D21" s="580"/>
      <c r="E21" s="581"/>
      <c r="F21" s="499">
        <v>690000</v>
      </c>
      <c r="G21" s="235"/>
      <c r="H21" s="258">
        <f t="shared" si="0"/>
        <v>690000</v>
      </c>
    </row>
    <row r="22" spans="1:12" s="22" customFormat="1" ht="15" customHeight="1">
      <c r="A22" s="158">
        <v>3</v>
      </c>
      <c r="B22" s="498" t="s">
        <v>372</v>
      </c>
      <c r="C22" s="585" t="s">
        <v>482</v>
      </c>
      <c r="D22" s="580"/>
      <c r="E22" s="581"/>
      <c r="F22" s="499">
        <v>585000</v>
      </c>
      <c r="G22" s="235"/>
      <c r="H22" s="258">
        <f t="shared" si="0"/>
        <v>585000</v>
      </c>
    </row>
    <row r="23" spans="1:12" s="22" customFormat="1" ht="15" customHeight="1">
      <c r="A23" s="158">
        <v>4</v>
      </c>
      <c r="B23" s="498" t="s">
        <v>488</v>
      </c>
      <c r="C23" s="496" t="s">
        <v>486</v>
      </c>
      <c r="D23" s="580"/>
      <c r="E23" s="581"/>
      <c r="F23" s="499">
        <v>34680</v>
      </c>
      <c r="G23" s="235"/>
      <c r="H23" s="258">
        <f t="shared" si="0"/>
        <v>34680</v>
      </c>
    </row>
    <row r="24" spans="1:12" s="22" customFormat="1" ht="15" customHeight="1">
      <c r="A24" s="158">
        <v>5</v>
      </c>
      <c r="B24" s="582"/>
      <c r="C24" s="583"/>
      <c r="D24" s="580"/>
      <c r="E24" s="581"/>
      <c r="F24" s="584">
        <f t="shared" ref="F24:F30" si="1">D24*E24</f>
        <v>0</v>
      </c>
      <c r="G24" s="235"/>
      <c r="H24" s="258">
        <f t="shared" si="0"/>
        <v>0</v>
      </c>
    </row>
    <row r="25" spans="1:12" s="22" customFormat="1" ht="15" customHeight="1">
      <c r="A25" s="158">
        <v>6</v>
      </c>
      <c r="B25" s="150"/>
      <c r="C25" s="152"/>
      <c r="D25" s="256"/>
      <c r="E25" s="147"/>
      <c r="F25" s="257">
        <f t="shared" si="1"/>
        <v>0</v>
      </c>
      <c r="G25" s="149"/>
      <c r="H25" s="258">
        <f t="shared" si="0"/>
        <v>0</v>
      </c>
    </row>
    <row r="26" spans="1:12" s="22" customFormat="1" ht="15" customHeight="1">
      <c r="A26" s="158">
        <v>7</v>
      </c>
      <c r="B26" s="146"/>
      <c r="C26" s="152"/>
      <c r="D26" s="256"/>
      <c r="E26" s="147"/>
      <c r="F26" s="257">
        <f t="shared" si="1"/>
        <v>0</v>
      </c>
      <c r="G26" s="149"/>
      <c r="H26" s="258">
        <f t="shared" si="0"/>
        <v>0</v>
      </c>
    </row>
    <row r="27" spans="1:12" s="22" customFormat="1" ht="15" customHeight="1">
      <c r="A27" s="158">
        <v>8</v>
      </c>
      <c r="B27" s="146"/>
      <c r="C27" s="152"/>
      <c r="D27" s="256"/>
      <c r="E27" s="147"/>
      <c r="F27" s="257"/>
      <c r="G27" s="149"/>
      <c r="H27" s="258"/>
    </row>
    <row r="28" spans="1:12" s="22" customFormat="1" ht="15" customHeight="1">
      <c r="A28" s="158">
        <v>9</v>
      </c>
      <c r="B28" s="146"/>
      <c r="C28" s="152"/>
      <c r="D28" s="256"/>
      <c r="E28" s="147"/>
      <c r="F28" s="257"/>
      <c r="G28" s="149"/>
      <c r="H28" s="258"/>
    </row>
    <row r="29" spans="1:12" s="22" customFormat="1" ht="15" customHeight="1">
      <c r="A29" s="158">
        <v>10</v>
      </c>
      <c r="B29" s="146"/>
      <c r="C29" s="152"/>
      <c r="D29" s="256"/>
      <c r="E29" s="147"/>
      <c r="F29" s="257"/>
      <c r="G29" s="149"/>
      <c r="H29" s="258"/>
    </row>
    <row r="30" spans="1:12" s="22" customFormat="1" ht="15" customHeight="1">
      <c r="A30" s="158">
        <v>11</v>
      </c>
      <c r="B30" s="150"/>
      <c r="C30" s="152"/>
      <c r="D30" s="195"/>
      <c r="E30" s="147"/>
      <c r="F30" s="191">
        <f t="shared" si="1"/>
        <v>0</v>
      </c>
      <c r="G30" s="149"/>
      <c r="H30" s="198">
        <f t="shared" si="0"/>
        <v>0</v>
      </c>
    </row>
    <row r="31" spans="1:12" s="22" customFormat="1" ht="15" customHeight="1">
      <c r="A31" s="145"/>
      <c r="B31" s="150"/>
      <c r="C31" s="152"/>
      <c r="D31" s="195"/>
      <c r="E31" s="147"/>
      <c r="F31" s="191"/>
      <c r="G31" s="149"/>
      <c r="H31" s="198"/>
    </row>
    <row r="32" spans="1:12" s="156" customFormat="1" ht="20" customHeight="1">
      <c r="A32" s="728" t="s">
        <v>99</v>
      </c>
      <c r="B32" s="728"/>
      <c r="C32" s="153"/>
      <c r="D32" s="192">
        <f>SUM(D20:D31)</f>
        <v>0</v>
      </c>
      <c r="E32" s="154"/>
      <c r="F32" s="192">
        <f>SUM(F20:F31)</f>
        <v>1374680</v>
      </c>
      <c r="G32" s="155">
        <f>SUM(G20:G31)</f>
        <v>0</v>
      </c>
      <c r="H32" s="192">
        <f>SUM(H20:H31)</f>
        <v>1374680</v>
      </c>
    </row>
    <row r="33" spans="1:9" s="22" customFormat="1" ht="15" customHeight="1">
      <c r="A33" s="145"/>
      <c r="B33" s="150"/>
      <c r="C33" s="151"/>
      <c r="D33" s="196"/>
      <c r="E33" s="157"/>
      <c r="F33" s="191"/>
      <c r="G33" s="148"/>
      <c r="H33" s="198"/>
    </row>
    <row r="34" spans="1:9" s="22" customFormat="1">
      <c r="A34" s="140"/>
      <c r="B34" s="141" t="s">
        <v>100</v>
      </c>
      <c r="C34" s="142"/>
      <c r="D34" s="197"/>
      <c r="E34" s="143"/>
      <c r="F34" s="193"/>
      <c r="G34" s="144"/>
      <c r="H34" s="199"/>
    </row>
    <row r="35" spans="1:9" s="22" customFormat="1">
      <c r="A35" s="158">
        <v>1</v>
      </c>
      <c r="B35" s="150"/>
      <c r="C35" s="183"/>
      <c r="D35" s="196"/>
      <c r="E35" s="157"/>
      <c r="F35" s="191">
        <f>D35*E35</f>
        <v>0</v>
      </c>
      <c r="G35" s="149"/>
      <c r="H35" s="198">
        <f t="shared" ref="H35:H45" si="2">+F35-G35</f>
        <v>0</v>
      </c>
      <c r="I35" s="201"/>
    </row>
    <row r="36" spans="1:9" s="22" customFormat="1">
      <c r="A36" s="158">
        <v>2</v>
      </c>
      <c r="B36" s="150"/>
      <c r="C36" s="182"/>
      <c r="D36" s="196"/>
      <c r="E36" s="157"/>
      <c r="F36" s="191">
        <f t="shared" ref="F36:F41" si="3">D36*E36</f>
        <v>0</v>
      </c>
      <c r="G36" s="149"/>
      <c r="H36" s="198">
        <f t="shared" si="2"/>
        <v>0</v>
      </c>
      <c r="I36" s="201"/>
    </row>
    <row r="37" spans="1:9" s="22" customFormat="1">
      <c r="A37" s="158">
        <v>3</v>
      </c>
      <c r="B37" s="150"/>
      <c r="C37" s="182"/>
      <c r="D37" s="196"/>
      <c r="E37" s="157"/>
      <c r="F37" s="191">
        <f t="shared" si="3"/>
        <v>0</v>
      </c>
      <c r="G37" s="149"/>
      <c r="H37" s="198">
        <f t="shared" si="2"/>
        <v>0</v>
      </c>
      <c r="I37" s="201"/>
    </row>
    <row r="38" spans="1:9" s="22" customFormat="1">
      <c r="A38" s="158">
        <v>4</v>
      </c>
      <c r="B38" s="150"/>
      <c r="C38" s="182"/>
      <c r="D38" s="196"/>
      <c r="E38" s="157"/>
      <c r="F38" s="191">
        <f t="shared" si="3"/>
        <v>0</v>
      </c>
      <c r="G38" s="149"/>
      <c r="H38" s="198">
        <f t="shared" si="2"/>
        <v>0</v>
      </c>
      <c r="I38" s="201"/>
    </row>
    <row r="39" spans="1:9" s="22" customFormat="1">
      <c r="A39" s="158">
        <v>5</v>
      </c>
      <c r="B39" s="150"/>
      <c r="C39" s="182"/>
      <c r="D39" s="196"/>
      <c r="E39" s="157"/>
      <c r="F39" s="191">
        <f t="shared" si="3"/>
        <v>0</v>
      </c>
      <c r="G39" s="149"/>
      <c r="H39" s="198">
        <f t="shared" si="2"/>
        <v>0</v>
      </c>
      <c r="I39" s="201"/>
    </row>
    <row r="40" spans="1:9" s="22" customFormat="1">
      <c r="A40" s="158">
        <v>6</v>
      </c>
      <c r="B40" s="150"/>
      <c r="C40" s="182"/>
      <c r="D40" s="196"/>
      <c r="E40" s="157"/>
      <c r="F40" s="191">
        <f t="shared" si="3"/>
        <v>0</v>
      </c>
      <c r="G40" s="149"/>
      <c r="H40" s="198">
        <f t="shared" si="2"/>
        <v>0</v>
      </c>
      <c r="I40" s="201"/>
    </row>
    <row r="41" spans="1:9" s="22" customFormat="1">
      <c r="A41" s="158">
        <v>7</v>
      </c>
      <c r="B41" s="150"/>
      <c r="C41" s="182"/>
      <c r="D41" s="196"/>
      <c r="E41" s="157"/>
      <c r="F41" s="191">
        <f t="shared" si="3"/>
        <v>0</v>
      </c>
      <c r="G41" s="149"/>
      <c r="H41" s="198">
        <f t="shared" si="2"/>
        <v>0</v>
      </c>
      <c r="I41" s="201"/>
    </row>
    <row r="42" spans="1:9" s="22" customFormat="1">
      <c r="A42" s="158"/>
      <c r="B42" s="146"/>
      <c r="C42" s="151"/>
      <c r="D42" s="196"/>
      <c r="E42" s="157"/>
      <c r="F42" s="191"/>
      <c r="G42" s="149"/>
      <c r="H42" s="198"/>
    </row>
    <row r="43" spans="1:9" s="156" customFormat="1" ht="20" customHeight="1">
      <c r="A43" s="728" t="s">
        <v>101</v>
      </c>
      <c r="B43" s="728"/>
      <c r="C43" s="153"/>
      <c r="D43" s="192">
        <f>SUM(D35:D42)</f>
        <v>0</v>
      </c>
      <c r="E43" s="154"/>
      <c r="F43" s="192">
        <f>SUM(F35:F42)</f>
        <v>0</v>
      </c>
      <c r="G43" s="155">
        <f>SUM(G35:G42)</f>
        <v>0</v>
      </c>
      <c r="H43" s="192">
        <f>SUM(H35:H42)</f>
        <v>0</v>
      </c>
    </row>
    <row r="44" spans="1:9" s="22" customFormat="1">
      <c r="A44" s="158"/>
      <c r="B44" s="150"/>
      <c r="C44" s="151"/>
      <c r="D44" s="196"/>
      <c r="E44" s="157"/>
      <c r="F44" s="191"/>
      <c r="G44" s="159"/>
      <c r="H44" s="198"/>
    </row>
    <row r="45" spans="1:9" s="22" customFormat="1">
      <c r="A45" s="145"/>
      <c r="B45" s="160"/>
      <c r="C45" s="161"/>
      <c r="D45" s="198"/>
      <c r="E45" s="161"/>
      <c r="F45" s="194"/>
      <c r="G45" s="162"/>
      <c r="H45" s="198">
        <f t="shared" si="2"/>
        <v>0</v>
      </c>
    </row>
    <row r="46" spans="1:9" s="156" customFormat="1" ht="20" customHeight="1">
      <c r="A46" s="728" t="s">
        <v>102</v>
      </c>
      <c r="B46" s="728"/>
      <c r="C46" s="153"/>
      <c r="D46" s="192">
        <f>D32+D43</f>
        <v>0</v>
      </c>
      <c r="E46" s="154"/>
      <c r="F46" s="192">
        <f>F32+F43</f>
        <v>1374680</v>
      </c>
      <c r="G46" s="192">
        <f>G32+G43</f>
        <v>0</v>
      </c>
      <c r="H46" s="192">
        <f>H32+H43</f>
        <v>1374680</v>
      </c>
    </row>
    <row r="47" spans="1:9" s="22" customFormat="1">
      <c r="D47" s="189"/>
    </row>
    <row r="51" spans="2:5">
      <c r="B51" s="633" t="s">
        <v>365</v>
      </c>
      <c r="C51" s="635" t="s">
        <v>366</v>
      </c>
      <c r="D51" s="504" t="s">
        <v>367</v>
      </c>
      <c r="E51" s="505">
        <v>65000</v>
      </c>
    </row>
    <row r="52" spans="2:5">
      <c r="B52" s="493" t="s">
        <v>369</v>
      </c>
      <c r="C52" s="500" t="s">
        <v>370</v>
      </c>
      <c r="D52" s="501" t="s">
        <v>371</v>
      </c>
      <c r="E52" s="495">
        <v>1450000</v>
      </c>
    </row>
    <row r="53" spans="2:5">
      <c r="B53" s="633" t="s">
        <v>486</v>
      </c>
      <c r="C53" s="503" t="s">
        <v>487</v>
      </c>
      <c r="D53" s="504" t="s">
        <v>488</v>
      </c>
      <c r="E53" s="505">
        <v>34680</v>
      </c>
    </row>
    <row r="54" spans="2:5">
      <c r="B54" s="633"/>
      <c r="C54" s="503"/>
      <c r="D54" s="504"/>
      <c r="E54" s="505"/>
    </row>
    <row r="55" spans="2:5">
      <c r="B55" s="577" t="s">
        <v>485</v>
      </c>
      <c r="C55" s="578"/>
      <c r="D55" s="578"/>
      <c r="E55" s="579">
        <v>1374680</v>
      </c>
    </row>
  </sheetData>
  <mergeCells count="12">
    <mergeCell ref="A46:B46"/>
    <mergeCell ref="E17:F17"/>
    <mergeCell ref="G17:H17"/>
    <mergeCell ref="I17:J17"/>
    <mergeCell ref="A32:B32"/>
    <mergeCell ref="A43:B43"/>
    <mergeCell ref="B15:F15"/>
    <mergeCell ref="A1:C8"/>
    <mergeCell ref="D5:G6"/>
    <mergeCell ref="A10:A11"/>
    <mergeCell ref="B10:F11"/>
    <mergeCell ref="A13:F13"/>
  </mergeCells>
  <pageMargins left="1" right="1" top="1" bottom="1" header="0.25" footer="0.25"/>
  <pageSetup scale="43" orientation="landscape" r:id="rId1"/>
  <headerFooter>
    <oddFooter>&amp;C&amp;"Helvetica,Regular"&amp;12&amp;K000000&amp;P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CB42"/>
  <sheetViews>
    <sheetView showGridLines="0" topLeftCell="A13" zoomScale="85" zoomScaleNormal="85" workbookViewId="0">
      <selection activeCell="I31" sqref="I31"/>
    </sheetView>
  </sheetViews>
  <sheetFormatPr baseColWidth="10" defaultColWidth="10.83203125" defaultRowHeight="13"/>
  <cols>
    <col min="1" max="1" width="10.83203125" style="22"/>
    <col min="2" max="5" width="15.83203125" style="22" customWidth="1"/>
    <col min="6" max="7" width="35.83203125" style="22" customWidth="1"/>
    <col min="8" max="12" width="15.83203125" style="22" customWidth="1"/>
    <col min="13" max="16384" width="10.83203125" style="22"/>
  </cols>
  <sheetData>
    <row r="1" spans="1:8" ht="13" customHeight="1">
      <c r="A1" s="736"/>
      <c r="B1" s="736"/>
      <c r="C1" s="736"/>
      <c r="D1" s="737"/>
      <c r="F1" s="28"/>
      <c r="G1" s="28"/>
    </row>
    <row r="2" spans="1:8" ht="13" customHeight="1">
      <c r="A2" s="738"/>
      <c r="B2" s="738"/>
      <c r="C2" s="738"/>
      <c r="D2" s="739"/>
      <c r="E2" s="33"/>
      <c r="F2" s="735" t="s">
        <v>58</v>
      </c>
      <c r="G2" s="735"/>
      <c r="H2" s="29"/>
    </row>
    <row r="3" spans="1:8" ht="13" customHeight="1">
      <c r="A3" s="738"/>
      <c r="B3" s="738"/>
      <c r="C3" s="738"/>
      <c r="D3" s="739"/>
      <c r="E3" s="33"/>
      <c r="F3" s="735"/>
      <c r="G3" s="735"/>
      <c r="H3" s="29"/>
    </row>
    <row r="4" spans="1:8" ht="13" customHeight="1">
      <c r="A4" s="738"/>
      <c r="B4" s="738"/>
      <c r="C4" s="738"/>
      <c r="D4" s="739"/>
      <c r="F4" s="32"/>
      <c r="G4" s="32"/>
    </row>
    <row r="5" spans="1:8" ht="13" customHeight="1">
      <c r="A5" s="738"/>
      <c r="B5" s="738"/>
      <c r="C5" s="738"/>
      <c r="D5" s="739"/>
    </row>
    <row r="6" spans="1:8" ht="13" customHeight="1">
      <c r="A6" s="738"/>
      <c r="B6" s="738"/>
      <c r="C6" s="738"/>
      <c r="D6" s="739"/>
      <c r="G6" s="28"/>
    </row>
    <row r="7" spans="1:8" ht="13" customHeight="1">
      <c r="A7" s="738"/>
      <c r="B7" s="738"/>
      <c r="C7" s="738"/>
      <c r="D7" s="739"/>
      <c r="F7" s="32"/>
    </row>
    <row r="8" spans="1:8" ht="13" customHeight="1">
      <c r="A8" s="740"/>
      <c r="B8" s="740"/>
      <c r="C8" s="740"/>
      <c r="D8" s="741"/>
      <c r="F8" s="32"/>
    </row>
    <row r="9" spans="1:8" ht="21">
      <c r="A9" s="85"/>
      <c r="B9" s="78"/>
      <c r="C9" s="78"/>
      <c r="D9" s="79"/>
      <c r="F9" s="32"/>
    </row>
    <row r="10" spans="1:8" ht="68" customHeight="1">
      <c r="A10" s="65" t="s">
        <v>2</v>
      </c>
      <c r="B10" s="65" t="s">
        <v>81</v>
      </c>
      <c r="C10" s="65" t="s">
        <v>41</v>
      </c>
      <c r="D10" s="65" t="s">
        <v>39</v>
      </c>
      <c r="F10" s="32"/>
    </row>
    <row r="11" spans="1:8" ht="20" customHeight="1">
      <c r="A11" s="58">
        <v>1</v>
      </c>
      <c r="B11" s="220" t="s">
        <v>124</v>
      </c>
      <c r="C11" s="60"/>
      <c r="D11" s="259">
        <v>2000000</v>
      </c>
      <c r="F11" s="32"/>
    </row>
    <row r="12" spans="1:8" ht="20" customHeight="1">
      <c r="A12" s="58">
        <v>2</v>
      </c>
      <c r="B12" s="418" t="s">
        <v>125</v>
      </c>
      <c r="C12" s="60"/>
      <c r="D12" s="259">
        <v>2000000</v>
      </c>
      <c r="F12" s="32"/>
    </row>
    <row r="13" spans="1:8" ht="20" customHeight="1">
      <c r="A13" s="58">
        <v>3</v>
      </c>
      <c r="B13" s="59"/>
      <c r="C13" s="161"/>
      <c r="D13" s="259"/>
      <c r="F13" s="32"/>
    </row>
    <row r="14" spans="1:8" ht="20" customHeight="1">
      <c r="A14" s="58">
        <v>4</v>
      </c>
      <c r="B14" s="418"/>
      <c r="C14" s="60"/>
      <c r="D14" s="61"/>
      <c r="F14" s="32"/>
    </row>
    <row r="15" spans="1:8" ht="20" customHeight="1">
      <c r="A15" s="58"/>
      <c r="B15" s="59"/>
      <c r="C15" s="161"/>
      <c r="D15" s="61"/>
      <c r="F15" s="32"/>
    </row>
    <row r="16" spans="1:8" ht="20" customHeight="1">
      <c r="A16" s="28"/>
      <c r="B16" s="28"/>
      <c r="C16" s="28"/>
      <c r="D16" s="120">
        <f>SUM(D11:D15)</f>
        <v>4000000</v>
      </c>
      <c r="E16" s="189"/>
      <c r="F16" s="32"/>
    </row>
    <row r="17" spans="1:80" s="28" customFormat="1"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</row>
    <row r="18" spans="1:80" s="28" customFormat="1">
      <c r="F18" s="734" t="s">
        <v>60</v>
      </c>
      <c r="G18" s="734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</row>
    <row r="19" spans="1:80" s="28" customFormat="1" ht="14">
      <c r="F19" s="734"/>
      <c r="G19" s="734"/>
      <c r="I19" s="121"/>
      <c r="J19" s="123" t="s">
        <v>38</v>
      </c>
      <c r="K19" s="1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</row>
    <row r="20" spans="1:80" s="28" customFormat="1" ht="25" customHeight="1">
      <c r="B20" s="80" t="s">
        <v>55</v>
      </c>
      <c r="C20" s="381">
        <f>SUM(C22:C41)</f>
        <v>585386.65</v>
      </c>
      <c r="I20" s="80" t="s">
        <v>56</v>
      </c>
      <c r="J20" s="391">
        <f>SUM(J22:J41)</f>
        <v>337000</v>
      </c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</row>
    <row r="21" spans="1:80" s="70" customFormat="1" ht="25" customHeight="1">
      <c r="A21" s="86" t="s">
        <v>54</v>
      </c>
      <c r="B21" s="66" t="s">
        <v>43</v>
      </c>
      <c r="C21" s="67" t="s">
        <v>44</v>
      </c>
      <c r="D21" s="67" t="s">
        <v>45</v>
      </c>
      <c r="E21" s="67" t="s">
        <v>46</v>
      </c>
      <c r="F21" s="67" t="s">
        <v>48</v>
      </c>
      <c r="G21" s="68" t="s">
        <v>47</v>
      </c>
      <c r="H21" s="68" t="s">
        <v>49</v>
      </c>
      <c r="I21" s="68" t="s">
        <v>50</v>
      </c>
      <c r="J21" s="68" t="s">
        <v>51</v>
      </c>
      <c r="K21" s="68" t="s">
        <v>52</v>
      </c>
      <c r="L21" s="68" t="s">
        <v>53</v>
      </c>
      <c r="M21" s="29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</row>
    <row r="22" spans="1:80" s="72" customFormat="1" ht="14">
      <c r="A22" s="237"/>
      <c r="B22" s="238"/>
      <c r="C22" s="636">
        <v>585386.65</v>
      </c>
      <c r="D22" s="231">
        <f t="shared" ref="D22:D26" si="0">+C22*0.19</f>
        <v>111223.46350000001</v>
      </c>
      <c r="E22" s="231">
        <f t="shared" ref="E22:E26" si="1">+D22+C22</f>
        <v>696610.11349999998</v>
      </c>
      <c r="F22" s="232"/>
      <c r="G22" s="598" t="s">
        <v>514</v>
      </c>
      <c r="H22" s="74"/>
      <c r="I22" s="74"/>
      <c r="J22" s="597">
        <v>220000</v>
      </c>
      <c r="K22" s="233">
        <f t="shared" ref="K22:K23" si="2">+J22*0.19</f>
        <v>41800</v>
      </c>
      <c r="L22" s="233">
        <f t="shared" ref="L22:L23" si="3">+K22+J22</f>
        <v>261800</v>
      </c>
      <c r="M22" s="29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</row>
    <row r="23" spans="1:80" s="72" customFormat="1">
      <c r="A23" s="237"/>
      <c r="B23" s="238"/>
      <c r="C23" s="231"/>
      <c r="D23" s="231">
        <f t="shared" si="0"/>
        <v>0</v>
      </c>
      <c r="E23" s="231">
        <f t="shared" si="1"/>
        <v>0</v>
      </c>
      <c r="F23" s="232"/>
      <c r="G23" s="598" t="s">
        <v>514</v>
      </c>
      <c r="H23" s="74"/>
      <c r="I23" s="74"/>
      <c r="J23" s="597">
        <v>117000</v>
      </c>
      <c r="K23" s="233">
        <f t="shared" si="2"/>
        <v>22230</v>
      </c>
      <c r="L23" s="233">
        <f t="shared" si="3"/>
        <v>139230</v>
      </c>
      <c r="M23" s="29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</row>
    <row r="24" spans="1:80" s="72" customFormat="1">
      <c r="A24" s="237"/>
      <c r="B24" s="238"/>
      <c r="C24" s="231"/>
      <c r="D24" s="231">
        <f t="shared" si="0"/>
        <v>0</v>
      </c>
      <c r="E24" s="231">
        <f t="shared" si="1"/>
        <v>0</v>
      </c>
      <c r="F24" s="232"/>
      <c r="G24" s="236"/>
      <c r="H24" s="74"/>
      <c r="I24" s="74"/>
      <c r="J24" s="233"/>
      <c r="K24" s="233">
        <f t="shared" ref="K24:K40" si="4">+J24*0.19</f>
        <v>0</v>
      </c>
      <c r="L24" s="233">
        <f t="shared" ref="L24:L40" si="5">+K24+J24</f>
        <v>0</v>
      </c>
      <c r="M24" s="29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</row>
    <row r="25" spans="1:80" s="72" customFormat="1">
      <c r="A25" s="237"/>
      <c r="B25" s="238"/>
      <c r="C25" s="231"/>
      <c r="D25" s="231">
        <f t="shared" si="0"/>
        <v>0</v>
      </c>
      <c r="E25" s="231">
        <f t="shared" si="1"/>
        <v>0</v>
      </c>
      <c r="F25" s="232"/>
      <c r="G25" s="236"/>
      <c r="H25" s="74"/>
      <c r="I25" s="74"/>
      <c r="J25" s="233"/>
      <c r="K25" s="233">
        <f t="shared" si="4"/>
        <v>0</v>
      </c>
      <c r="L25" s="233">
        <f t="shared" si="5"/>
        <v>0</v>
      </c>
      <c r="M25" s="29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</row>
    <row r="26" spans="1:80" s="72" customFormat="1">
      <c r="A26" s="237"/>
      <c r="B26" s="238"/>
      <c r="C26" s="231"/>
      <c r="D26" s="231">
        <f t="shared" si="0"/>
        <v>0</v>
      </c>
      <c r="E26" s="231">
        <f t="shared" si="1"/>
        <v>0</v>
      </c>
      <c r="F26" s="232"/>
      <c r="G26" s="236"/>
      <c r="H26" s="74"/>
      <c r="I26" s="74"/>
      <c r="J26" s="233"/>
      <c r="K26" s="233">
        <f t="shared" si="4"/>
        <v>0</v>
      </c>
      <c r="L26" s="233">
        <f t="shared" si="5"/>
        <v>0</v>
      </c>
      <c r="M26" s="29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</row>
    <row r="27" spans="1:80" s="72" customFormat="1">
      <c r="A27" s="237"/>
      <c r="B27" s="238"/>
      <c r="C27" s="231"/>
      <c r="D27" s="231">
        <f t="shared" ref="D27:D40" si="6">+C27*0.19</f>
        <v>0</v>
      </c>
      <c r="E27" s="231">
        <f t="shared" ref="E27:E40" si="7">+D27+C27</f>
        <v>0</v>
      </c>
      <c r="F27" s="232"/>
      <c r="G27" s="236"/>
      <c r="H27" s="74"/>
      <c r="I27" s="74"/>
      <c r="J27" s="233"/>
      <c r="K27" s="233">
        <f t="shared" si="4"/>
        <v>0</v>
      </c>
      <c r="L27" s="233">
        <f t="shared" si="5"/>
        <v>0</v>
      </c>
      <c r="M27" s="29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</row>
    <row r="28" spans="1:80" s="72" customFormat="1">
      <c r="A28" s="237"/>
      <c r="B28" s="238"/>
      <c r="C28" s="231"/>
      <c r="D28" s="231">
        <f t="shared" si="6"/>
        <v>0</v>
      </c>
      <c r="E28" s="231">
        <f t="shared" si="7"/>
        <v>0</v>
      </c>
      <c r="F28" s="232"/>
      <c r="G28" s="236"/>
      <c r="H28" s="74"/>
      <c r="I28" s="74"/>
      <c r="J28" s="233"/>
      <c r="K28" s="233">
        <f t="shared" si="4"/>
        <v>0</v>
      </c>
      <c r="L28" s="233">
        <f t="shared" si="5"/>
        <v>0</v>
      </c>
      <c r="M28" s="29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</row>
    <row r="29" spans="1:80" s="72" customFormat="1">
      <c r="A29" s="237"/>
      <c r="B29" s="238"/>
      <c r="C29" s="231"/>
      <c r="D29" s="231">
        <f t="shared" si="6"/>
        <v>0</v>
      </c>
      <c r="E29" s="231">
        <f t="shared" si="7"/>
        <v>0</v>
      </c>
      <c r="F29" s="232"/>
      <c r="G29" s="236"/>
      <c r="H29" s="74"/>
      <c r="I29" s="74"/>
      <c r="J29" s="233"/>
      <c r="K29" s="233">
        <f t="shared" si="4"/>
        <v>0</v>
      </c>
      <c r="L29" s="233">
        <f t="shared" si="5"/>
        <v>0</v>
      </c>
      <c r="M29" s="29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</row>
    <row r="30" spans="1:80" s="72" customFormat="1">
      <c r="A30" s="237"/>
      <c r="B30" s="238"/>
      <c r="C30" s="231"/>
      <c r="D30" s="231">
        <f t="shared" si="6"/>
        <v>0</v>
      </c>
      <c r="E30" s="231">
        <f t="shared" si="7"/>
        <v>0</v>
      </c>
      <c r="F30" s="232"/>
      <c r="G30" s="236"/>
      <c r="H30" s="74"/>
      <c r="I30" s="74"/>
      <c r="J30" s="233"/>
      <c r="K30" s="233">
        <f t="shared" si="4"/>
        <v>0</v>
      </c>
      <c r="L30" s="233">
        <f t="shared" si="5"/>
        <v>0</v>
      </c>
      <c r="M30" s="29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</row>
    <row r="31" spans="1:80" s="72" customFormat="1">
      <c r="A31" s="237"/>
      <c r="B31" s="238"/>
      <c r="C31" s="231"/>
      <c r="D31" s="231">
        <f t="shared" si="6"/>
        <v>0</v>
      </c>
      <c r="E31" s="231">
        <f t="shared" si="7"/>
        <v>0</v>
      </c>
      <c r="F31" s="232"/>
      <c r="G31" s="236"/>
      <c r="H31" s="74"/>
      <c r="I31" s="74"/>
      <c r="J31" s="233"/>
      <c r="K31" s="233">
        <f t="shared" si="4"/>
        <v>0</v>
      </c>
      <c r="L31" s="233">
        <f t="shared" si="5"/>
        <v>0</v>
      </c>
      <c r="M31" s="29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</row>
    <row r="32" spans="1:80" s="72" customFormat="1">
      <c r="A32" s="237"/>
      <c r="B32" s="238"/>
      <c r="C32" s="231"/>
      <c r="D32" s="231">
        <f t="shared" si="6"/>
        <v>0</v>
      </c>
      <c r="E32" s="231">
        <f t="shared" si="7"/>
        <v>0</v>
      </c>
      <c r="F32" s="232"/>
      <c r="G32" s="236"/>
      <c r="H32" s="74"/>
      <c r="I32" s="74"/>
      <c r="J32" s="233"/>
      <c r="K32" s="233">
        <f t="shared" si="4"/>
        <v>0</v>
      </c>
      <c r="L32" s="233">
        <f t="shared" si="5"/>
        <v>0</v>
      </c>
      <c r="M32" s="29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</row>
    <row r="33" spans="1:80" s="72" customFormat="1">
      <c r="A33" s="237"/>
      <c r="B33" s="238"/>
      <c r="C33" s="231"/>
      <c r="D33" s="231">
        <f t="shared" si="6"/>
        <v>0</v>
      </c>
      <c r="E33" s="231">
        <f t="shared" si="7"/>
        <v>0</v>
      </c>
      <c r="F33" s="232"/>
      <c r="G33" s="236"/>
      <c r="H33" s="74"/>
      <c r="I33" s="74"/>
      <c r="J33" s="233"/>
      <c r="K33" s="233">
        <f t="shared" si="4"/>
        <v>0</v>
      </c>
      <c r="L33" s="233">
        <f t="shared" si="5"/>
        <v>0</v>
      </c>
      <c r="M33" s="29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</row>
    <row r="34" spans="1:80" s="72" customFormat="1">
      <c r="A34" s="237"/>
      <c r="B34" s="238"/>
      <c r="C34" s="231"/>
      <c r="D34" s="231">
        <f t="shared" si="6"/>
        <v>0</v>
      </c>
      <c r="E34" s="231">
        <f t="shared" si="7"/>
        <v>0</v>
      </c>
      <c r="F34" s="232"/>
      <c r="G34" s="236"/>
      <c r="H34" s="74"/>
      <c r="I34" s="74"/>
      <c r="J34" s="233"/>
      <c r="K34" s="233">
        <f t="shared" si="4"/>
        <v>0</v>
      </c>
      <c r="L34" s="233">
        <f t="shared" si="5"/>
        <v>0</v>
      </c>
      <c r="M34" s="29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</row>
    <row r="35" spans="1:80" s="72" customFormat="1">
      <c r="A35" s="237"/>
      <c r="B35" s="238"/>
      <c r="C35" s="231"/>
      <c r="D35" s="231">
        <f t="shared" si="6"/>
        <v>0</v>
      </c>
      <c r="E35" s="231">
        <f t="shared" si="7"/>
        <v>0</v>
      </c>
      <c r="F35" s="232"/>
      <c r="G35" s="236"/>
      <c r="H35" s="74"/>
      <c r="I35" s="74"/>
      <c r="J35" s="233"/>
      <c r="K35" s="233">
        <f t="shared" si="4"/>
        <v>0</v>
      </c>
      <c r="L35" s="233">
        <f t="shared" si="5"/>
        <v>0</v>
      </c>
      <c r="M35" s="29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</row>
    <row r="36" spans="1:80" s="72" customFormat="1">
      <c r="A36" s="237"/>
      <c r="B36" s="238"/>
      <c r="C36" s="231"/>
      <c r="D36" s="231">
        <f t="shared" si="6"/>
        <v>0</v>
      </c>
      <c r="E36" s="231">
        <f t="shared" si="7"/>
        <v>0</v>
      </c>
      <c r="F36" s="232"/>
      <c r="G36" s="236"/>
      <c r="H36" s="74"/>
      <c r="I36" s="74"/>
      <c r="J36" s="233"/>
      <c r="K36" s="233">
        <f t="shared" si="4"/>
        <v>0</v>
      </c>
      <c r="L36" s="233">
        <f t="shared" si="5"/>
        <v>0</v>
      </c>
      <c r="M36" s="29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</row>
    <row r="37" spans="1:80" s="72" customFormat="1">
      <c r="A37" s="237"/>
      <c r="B37" s="238"/>
      <c r="C37" s="231"/>
      <c r="D37" s="231">
        <f t="shared" si="6"/>
        <v>0</v>
      </c>
      <c r="E37" s="231">
        <f t="shared" si="7"/>
        <v>0</v>
      </c>
      <c r="F37" s="232"/>
      <c r="G37" s="236"/>
      <c r="H37" s="74"/>
      <c r="I37" s="74"/>
      <c r="J37" s="233"/>
      <c r="K37" s="233">
        <f t="shared" si="4"/>
        <v>0</v>
      </c>
      <c r="L37" s="233">
        <f t="shared" si="5"/>
        <v>0</v>
      </c>
      <c r="M37" s="29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</row>
    <row r="38" spans="1:80" s="72" customFormat="1">
      <c r="A38" s="237"/>
      <c r="B38" s="238"/>
      <c r="C38" s="231"/>
      <c r="D38" s="231">
        <f t="shared" si="6"/>
        <v>0</v>
      </c>
      <c r="E38" s="231">
        <f t="shared" si="7"/>
        <v>0</v>
      </c>
      <c r="F38" s="232"/>
      <c r="G38" s="236"/>
      <c r="H38" s="74"/>
      <c r="I38" s="74"/>
      <c r="J38" s="233"/>
      <c r="K38" s="233">
        <f t="shared" si="4"/>
        <v>0</v>
      </c>
      <c r="L38" s="233">
        <f t="shared" si="5"/>
        <v>0</v>
      </c>
      <c r="M38" s="29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</row>
    <row r="39" spans="1:80" s="72" customFormat="1">
      <c r="A39" s="237"/>
      <c r="B39" s="238"/>
      <c r="C39" s="231"/>
      <c r="D39" s="231">
        <f t="shared" si="6"/>
        <v>0</v>
      </c>
      <c r="E39" s="231">
        <f t="shared" si="7"/>
        <v>0</v>
      </c>
      <c r="F39" s="232"/>
      <c r="G39" s="236"/>
      <c r="H39" s="74"/>
      <c r="I39" s="74"/>
      <c r="J39" s="233"/>
      <c r="K39" s="233">
        <f t="shared" si="4"/>
        <v>0</v>
      </c>
      <c r="L39" s="233">
        <f t="shared" si="5"/>
        <v>0</v>
      </c>
      <c r="M39" s="29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</row>
    <row r="40" spans="1:80" s="72" customFormat="1">
      <c r="A40" s="237"/>
      <c r="B40" s="238"/>
      <c r="C40" s="231"/>
      <c r="D40" s="231">
        <f t="shared" si="6"/>
        <v>0</v>
      </c>
      <c r="E40" s="231">
        <f t="shared" si="7"/>
        <v>0</v>
      </c>
      <c r="F40" s="232"/>
      <c r="G40" s="236"/>
      <c r="H40" s="74"/>
      <c r="I40" s="74"/>
      <c r="J40" s="233"/>
      <c r="K40" s="233">
        <f t="shared" si="4"/>
        <v>0</v>
      </c>
      <c r="L40" s="233">
        <f t="shared" si="5"/>
        <v>0</v>
      </c>
      <c r="M40" s="29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</row>
    <row r="41" spans="1:80" s="72" customFormat="1">
      <c r="A41" s="87"/>
      <c r="B41" s="82"/>
      <c r="C41" s="82"/>
      <c r="D41" s="82"/>
      <c r="E41" s="82"/>
      <c r="F41" s="82"/>
      <c r="G41" s="83"/>
      <c r="H41" s="84"/>
      <c r="I41" s="84"/>
      <c r="J41" s="84"/>
      <c r="K41" s="84"/>
      <c r="L41" s="84"/>
      <c r="M41" s="29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</row>
    <row r="42" spans="1:80" s="71" customFormat="1"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</row>
  </sheetData>
  <mergeCells count="3">
    <mergeCell ref="F18:G19"/>
    <mergeCell ref="F2:G3"/>
    <mergeCell ref="A1:D8"/>
  </mergeCells>
  <phoneticPr fontId="11" type="noConversion"/>
  <dataValidations disablePrompts="1" count="1">
    <dataValidation type="list" allowBlank="1" showInputMessage="1" showErrorMessage="1" sqref="F22:F40" xr:uid="{AA14B847-EFC8-2B42-A20C-DCE9C8502F84}">
      <formula1>"MATERIALES,ARRIENDOS,ART. DE OFICINA,IMP. DE SEGURIDAD,MANT. EXTINTORES,GASTOS LEGALES,ROPA DE TRABAJO,IMPRENTA,OTROS ARRIENDOS,COLACIÓN,MANT. VEHICULOS,FLETES,ACTIVO FIJO,ARRIENDO DISPENSADOR"</formula1>
    </dataValidation>
  </dataValidations>
  <pageMargins left="1" right="1" top="1" bottom="1" header="0.25" footer="0.25"/>
  <pageSetup scale="12" orientation="landscape" r:id="rId1"/>
  <headerFooter>
    <oddFooter>&amp;C&amp;"Helvetica,Regular"&amp;12&amp;K000000&amp;P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CD61"/>
  <sheetViews>
    <sheetView showGridLines="0" topLeftCell="A31" zoomScale="85" zoomScaleNormal="85" workbookViewId="0">
      <selection activeCell="I48" sqref="I48"/>
    </sheetView>
  </sheetViews>
  <sheetFormatPr baseColWidth="10" defaultColWidth="10.83203125" defaultRowHeight="16"/>
  <cols>
    <col min="1" max="1" width="3.5" style="316" customWidth="1"/>
    <col min="2" max="2" width="10.83203125" style="375"/>
    <col min="3" max="3" width="15.83203125" style="376" customWidth="1"/>
    <col min="4" max="4" width="19.6640625" style="316" customWidth="1"/>
    <col min="5" max="5" width="15.83203125" style="316" customWidth="1"/>
    <col min="6" max="7" width="15.83203125" style="313" customWidth="1"/>
    <col min="8" max="8" width="15.5" style="323" bestFit="1" customWidth="1"/>
    <col min="9" max="9" width="35.83203125" style="316" customWidth="1"/>
    <col min="10" max="10" width="15.83203125" style="316" customWidth="1"/>
    <col min="11" max="11" width="18.83203125" style="316" customWidth="1"/>
    <col min="12" max="12" width="22.1640625" style="316" customWidth="1"/>
    <col min="13" max="14" width="15.83203125" style="316" customWidth="1"/>
    <col min="15" max="16" width="10.83203125" style="316"/>
    <col min="17" max="16384" width="10.83203125" style="22"/>
  </cols>
  <sheetData>
    <row r="1" spans="1:10" ht="13" customHeight="1">
      <c r="A1" s="311"/>
      <c r="B1" s="312"/>
      <c r="C1" s="742"/>
      <c r="D1" s="742"/>
      <c r="E1" s="742"/>
      <c r="F1" s="743"/>
      <c r="H1" s="314"/>
      <c r="I1" s="315"/>
    </row>
    <row r="2" spans="1:10" ht="13" customHeight="1">
      <c r="A2" s="317"/>
      <c r="B2" s="318"/>
      <c r="C2" s="744"/>
      <c r="D2" s="744"/>
      <c r="E2" s="744"/>
      <c r="F2" s="745"/>
      <c r="G2" s="319"/>
      <c r="H2" s="748" t="s">
        <v>58</v>
      </c>
      <c r="I2" s="748"/>
      <c r="J2" s="320"/>
    </row>
    <row r="3" spans="1:10" ht="13" customHeight="1">
      <c r="A3" s="317"/>
      <c r="B3" s="318"/>
      <c r="C3" s="744"/>
      <c r="D3" s="744"/>
      <c r="E3" s="744"/>
      <c r="F3" s="745"/>
      <c r="G3" s="319"/>
      <c r="H3" s="748"/>
      <c r="I3" s="748"/>
      <c r="J3" s="320"/>
    </row>
    <row r="4" spans="1:10" ht="13" customHeight="1">
      <c r="A4" s="317"/>
      <c r="B4" s="318"/>
      <c r="C4" s="744"/>
      <c r="D4" s="744"/>
      <c r="E4" s="744"/>
      <c r="F4" s="745"/>
      <c r="H4" s="321"/>
      <c r="I4" s="322"/>
    </row>
    <row r="5" spans="1:10" ht="13" customHeight="1">
      <c r="A5" s="317"/>
      <c r="B5" s="318"/>
      <c r="C5" s="744"/>
      <c r="D5" s="744"/>
      <c r="E5" s="744"/>
      <c r="F5" s="745"/>
    </row>
    <row r="6" spans="1:10" ht="13" customHeight="1">
      <c r="A6" s="317"/>
      <c r="B6" s="318"/>
      <c r="C6" s="744"/>
      <c r="D6" s="744"/>
      <c r="E6" s="744"/>
      <c r="F6" s="745"/>
      <c r="I6" s="315"/>
    </row>
    <row r="7" spans="1:10" ht="13" customHeight="1">
      <c r="A7" s="317"/>
      <c r="B7" s="318"/>
      <c r="C7" s="744"/>
      <c r="D7" s="744"/>
      <c r="E7" s="744"/>
      <c r="F7" s="745"/>
      <c r="H7" s="321"/>
    </row>
    <row r="8" spans="1:10" ht="13" customHeight="1">
      <c r="A8" s="324"/>
      <c r="B8" s="325"/>
      <c r="C8" s="746"/>
      <c r="D8" s="746"/>
      <c r="E8" s="746"/>
      <c r="F8" s="747"/>
      <c r="H8" s="321"/>
    </row>
    <row r="9" spans="1:10">
      <c r="A9" s="324"/>
      <c r="B9" s="325"/>
      <c r="C9" s="327"/>
      <c r="D9" s="326"/>
      <c r="E9" s="326"/>
      <c r="F9" s="328"/>
      <c r="H9" s="321"/>
    </row>
    <row r="10" spans="1:10" ht="68" customHeight="1">
      <c r="A10" s="317"/>
      <c r="B10" s="329" t="s">
        <v>2</v>
      </c>
      <c r="C10" s="330" t="s">
        <v>81</v>
      </c>
      <c r="D10" s="329" t="s">
        <v>41</v>
      </c>
      <c r="E10" s="331"/>
      <c r="F10" s="332" t="s">
        <v>39</v>
      </c>
      <c r="H10" s="321"/>
    </row>
    <row r="11" spans="1:10" ht="20" customHeight="1">
      <c r="A11" s="317"/>
      <c r="B11" s="333">
        <v>1</v>
      </c>
      <c r="C11" s="220" t="s">
        <v>124</v>
      </c>
      <c r="D11" s="335"/>
      <c r="E11" s="335"/>
      <c r="F11" s="336">
        <v>15000000</v>
      </c>
      <c r="H11" s="321"/>
    </row>
    <row r="12" spans="1:10" ht="20" customHeight="1">
      <c r="A12" s="317"/>
      <c r="B12" s="333">
        <v>2</v>
      </c>
      <c r="C12" s="418" t="s">
        <v>125</v>
      </c>
      <c r="D12" s="335"/>
      <c r="E12" s="335"/>
      <c r="F12" s="336">
        <v>0</v>
      </c>
      <c r="H12" s="321"/>
    </row>
    <row r="13" spans="1:10" ht="20" customHeight="1">
      <c r="A13" s="317"/>
      <c r="B13" s="333">
        <v>3</v>
      </c>
      <c r="C13" s="334"/>
      <c r="D13" s="335"/>
      <c r="E13" s="335"/>
      <c r="F13" s="336">
        <v>0</v>
      </c>
      <c r="H13" s="321"/>
    </row>
    <row r="14" spans="1:10" ht="20" customHeight="1">
      <c r="A14" s="317"/>
      <c r="B14" s="333">
        <v>4</v>
      </c>
      <c r="C14" s="418"/>
      <c r="D14" s="338"/>
      <c r="E14" s="335"/>
      <c r="F14" s="339">
        <v>0</v>
      </c>
      <c r="H14" s="321"/>
    </row>
    <row r="15" spans="1:10" ht="20" customHeight="1">
      <c r="A15" s="317"/>
      <c r="B15" s="333"/>
      <c r="C15" s="334"/>
      <c r="D15" s="340"/>
      <c r="E15" s="335"/>
      <c r="F15" s="336">
        <v>0</v>
      </c>
      <c r="H15" s="321"/>
    </row>
    <row r="16" spans="1:10" ht="20" customHeight="1">
      <c r="A16" s="315"/>
      <c r="B16" s="341"/>
      <c r="C16" s="342"/>
      <c r="D16" s="315"/>
      <c r="E16" s="317"/>
      <c r="F16" s="343">
        <f>SUM(F11:F15)</f>
        <v>15000000</v>
      </c>
      <c r="H16" s="321"/>
    </row>
    <row r="17" spans="1:82" s="28" customFormat="1">
      <c r="A17" s="315"/>
      <c r="B17" s="341"/>
      <c r="C17" s="342"/>
      <c r="D17" s="315"/>
      <c r="E17" s="315"/>
      <c r="F17" s="344"/>
      <c r="G17" s="344"/>
      <c r="H17" s="314"/>
      <c r="I17" s="315"/>
      <c r="J17" s="315"/>
      <c r="K17" s="315"/>
      <c r="L17" s="315"/>
      <c r="M17" s="315"/>
      <c r="N17" s="315"/>
      <c r="O17" s="316"/>
      <c r="P17" s="316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</row>
    <row r="18" spans="1:82" s="28" customFormat="1">
      <c r="A18" s="315"/>
      <c r="B18" s="341"/>
      <c r="C18" s="342"/>
      <c r="D18" s="315"/>
      <c r="E18" s="315"/>
      <c r="F18" s="344"/>
      <c r="G18" s="344"/>
      <c r="H18" s="749" t="s">
        <v>82</v>
      </c>
      <c r="I18" s="749"/>
      <c r="J18" s="315"/>
      <c r="K18" s="315"/>
      <c r="L18" s="315"/>
      <c r="M18" s="315"/>
      <c r="N18" s="315"/>
      <c r="O18" s="316"/>
      <c r="P18" s="316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</row>
    <row r="19" spans="1:82" s="28" customFormat="1" ht="17">
      <c r="A19" s="315"/>
      <c r="B19" s="341"/>
      <c r="C19" s="342"/>
      <c r="D19" s="315"/>
      <c r="E19" s="315"/>
      <c r="F19" s="344"/>
      <c r="G19" s="344"/>
      <c r="H19" s="749"/>
      <c r="I19" s="749"/>
      <c r="J19" s="315"/>
      <c r="K19" s="315"/>
      <c r="L19" s="345" t="s">
        <v>38</v>
      </c>
      <c r="M19" s="315"/>
      <c r="N19" s="315"/>
      <c r="O19" s="316"/>
      <c r="P19" s="316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</row>
    <row r="20" spans="1:82" s="28" customFormat="1" ht="25" customHeight="1">
      <c r="A20" s="315"/>
      <c r="B20" s="341"/>
      <c r="C20" s="346" t="s">
        <v>55</v>
      </c>
      <c r="D20" s="377">
        <f>SUM(D22:D56)</f>
        <v>15591086</v>
      </c>
      <c r="E20" s="347"/>
      <c r="F20" s="344"/>
      <c r="G20" s="344"/>
      <c r="H20" s="314"/>
      <c r="I20" s="315"/>
      <c r="J20" s="315"/>
      <c r="K20" s="348" t="s">
        <v>56</v>
      </c>
      <c r="L20" s="377">
        <f>SUM(K22:K60)</f>
        <v>11936081</v>
      </c>
      <c r="M20" s="315"/>
      <c r="N20" s="315"/>
      <c r="O20" s="316"/>
      <c r="P20" s="316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</row>
    <row r="21" spans="1:82" s="70" customFormat="1" ht="25" customHeight="1">
      <c r="A21" s="349"/>
      <c r="B21" s="350" t="s">
        <v>54</v>
      </c>
      <c r="C21" s="351" t="s">
        <v>43</v>
      </c>
      <c r="D21" s="352" t="s">
        <v>44</v>
      </c>
      <c r="E21" s="353" t="s">
        <v>45</v>
      </c>
      <c r="F21" s="353" t="s">
        <v>46</v>
      </c>
      <c r="G21" s="352" t="s">
        <v>48</v>
      </c>
      <c r="H21" s="352" t="s">
        <v>47</v>
      </c>
      <c r="I21" s="354" t="s">
        <v>49</v>
      </c>
      <c r="J21" s="354" t="s">
        <v>50</v>
      </c>
      <c r="K21" s="354" t="s">
        <v>51</v>
      </c>
      <c r="L21" s="354" t="s">
        <v>52</v>
      </c>
      <c r="M21" s="354" t="s">
        <v>53</v>
      </c>
      <c r="N21" s="320"/>
      <c r="O21" s="316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</row>
    <row r="22" spans="1:82" s="241" customFormat="1">
      <c r="A22" s="355"/>
      <c r="B22" s="187" t="s">
        <v>379</v>
      </c>
      <c r="C22" s="507">
        <v>45867</v>
      </c>
      <c r="D22" s="389">
        <v>321200</v>
      </c>
      <c r="E22" s="389">
        <f>D22*0.19</f>
        <v>61028</v>
      </c>
      <c r="F22" s="509">
        <f>D22+E22</f>
        <v>382228</v>
      </c>
      <c r="G22" s="357"/>
      <c r="H22" s="358"/>
      <c r="I22" s="359"/>
      <c r="J22" s="360"/>
      <c r="K22" s="361">
        <v>321200</v>
      </c>
      <c r="L22" s="361">
        <f t="shared" ref="L22:L38" si="0">+K22*0.19</f>
        <v>61028</v>
      </c>
      <c r="M22" s="362">
        <f t="shared" ref="M22:M34" si="1">+K22+L22</f>
        <v>382228</v>
      </c>
      <c r="N22" s="363"/>
      <c r="O22" s="316"/>
      <c r="P22" s="240"/>
      <c r="Q22" s="240"/>
      <c r="R22" s="240"/>
      <c r="S22" s="240"/>
      <c r="T22" s="240"/>
      <c r="U22" s="240"/>
      <c r="V22" s="240"/>
      <c r="W22" s="240"/>
      <c r="X22" s="240"/>
      <c r="Y22" s="240"/>
      <c r="Z22" s="240"/>
      <c r="AA22" s="240"/>
      <c r="AB22" s="240"/>
      <c r="AC22" s="240"/>
      <c r="AD22" s="240"/>
      <c r="AE22" s="240"/>
      <c r="AF22" s="240"/>
      <c r="AG22" s="240"/>
      <c r="AH22" s="240"/>
      <c r="AI22" s="240"/>
      <c r="AJ22" s="240"/>
      <c r="AK22" s="240"/>
      <c r="AL22" s="240"/>
      <c r="AM22" s="240"/>
      <c r="AN22" s="240"/>
      <c r="AO22" s="240"/>
      <c r="AP22" s="240"/>
      <c r="AQ22" s="240"/>
      <c r="AR22" s="240"/>
      <c r="AS22" s="240"/>
      <c r="AT22" s="240"/>
      <c r="AU22" s="240"/>
      <c r="AV22" s="240"/>
      <c r="AW22" s="240"/>
      <c r="AX22" s="240"/>
      <c r="AY22" s="240"/>
      <c r="AZ22" s="240"/>
      <c r="BA22" s="240"/>
      <c r="BB22" s="240"/>
      <c r="BC22" s="240"/>
      <c r="BD22" s="240"/>
      <c r="BE22" s="240"/>
      <c r="BF22" s="240"/>
      <c r="BG22" s="240"/>
      <c r="BH22" s="240"/>
      <c r="BI22" s="240"/>
      <c r="BJ22" s="240"/>
      <c r="BK22" s="240"/>
      <c r="BL22" s="240"/>
      <c r="BM22" s="240"/>
      <c r="BN22" s="240"/>
      <c r="BO22" s="240"/>
      <c r="BP22" s="240"/>
      <c r="BQ22" s="240"/>
      <c r="BR22" s="240"/>
      <c r="BS22" s="240"/>
      <c r="BT22" s="240"/>
      <c r="BU22" s="240"/>
      <c r="BV22" s="240"/>
      <c r="BW22" s="240"/>
      <c r="BX22" s="240"/>
      <c r="BY22" s="240"/>
      <c r="BZ22" s="240"/>
      <c r="CA22" s="240"/>
      <c r="CB22" s="240"/>
      <c r="CC22" s="240"/>
    </row>
    <row r="23" spans="1:82" s="241" customFormat="1">
      <c r="A23" s="355"/>
      <c r="B23" s="187" t="s">
        <v>380</v>
      </c>
      <c r="C23" s="507">
        <v>45868</v>
      </c>
      <c r="D23" s="389">
        <v>190272</v>
      </c>
      <c r="E23" s="389">
        <f t="shared" ref="E23:E33" si="2">D23*0.19</f>
        <v>36151.68</v>
      </c>
      <c r="F23" s="509">
        <f t="shared" ref="F23:F33" si="3">D23+E23</f>
        <v>226423.67999999999</v>
      </c>
      <c r="G23" s="357"/>
      <c r="H23" s="364"/>
      <c r="I23" s="365"/>
      <c r="J23" s="360"/>
      <c r="K23" s="361">
        <v>190274</v>
      </c>
      <c r="L23" s="361">
        <f t="shared" si="0"/>
        <v>36152.06</v>
      </c>
      <c r="M23" s="362">
        <f t="shared" si="1"/>
        <v>226426.06</v>
      </c>
      <c r="N23" s="363"/>
      <c r="O23" s="316"/>
      <c r="P23" s="240"/>
      <c r="Q23" s="240"/>
      <c r="R23" s="240"/>
      <c r="S23" s="240"/>
      <c r="T23" s="240"/>
      <c r="U23" s="240"/>
      <c r="V23" s="240"/>
      <c r="W23" s="240"/>
      <c r="X23" s="240"/>
      <c r="Y23" s="240"/>
      <c r="Z23" s="240"/>
      <c r="AA23" s="240"/>
      <c r="AB23" s="240"/>
      <c r="AC23" s="240"/>
      <c r="AD23" s="240"/>
      <c r="AE23" s="240"/>
      <c r="AF23" s="240"/>
      <c r="AG23" s="240"/>
      <c r="AH23" s="240"/>
      <c r="AI23" s="240"/>
      <c r="AJ23" s="240"/>
      <c r="AK23" s="240"/>
      <c r="AL23" s="240"/>
      <c r="AM23" s="240"/>
      <c r="AN23" s="240"/>
      <c r="AO23" s="240"/>
      <c r="AP23" s="240"/>
      <c r="AQ23" s="240"/>
      <c r="AR23" s="240"/>
      <c r="AS23" s="240"/>
      <c r="AT23" s="240"/>
      <c r="AU23" s="240"/>
      <c r="AV23" s="240"/>
      <c r="AW23" s="240"/>
      <c r="AX23" s="240"/>
      <c r="AY23" s="240"/>
      <c r="AZ23" s="240"/>
      <c r="BA23" s="240"/>
      <c r="BB23" s="240"/>
      <c r="BC23" s="240"/>
      <c r="BD23" s="240"/>
      <c r="BE23" s="240"/>
      <c r="BF23" s="240"/>
      <c r="BG23" s="240"/>
      <c r="BH23" s="240"/>
      <c r="BI23" s="240"/>
      <c r="BJ23" s="240"/>
      <c r="BK23" s="240"/>
      <c r="BL23" s="240"/>
      <c r="BM23" s="240"/>
      <c r="BN23" s="240"/>
      <c r="BO23" s="240"/>
      <c r="BP23" s="240"/>
      <c r="BQ23" s="240"/>
      <c r="BR23" s="240"/>
      <c r="BS23" s="240"/>
      <c r="BT23" s="240"/>
      <c r="BU23" s="240"/>
      <c r="BV23" s="240"/>
      <c r="BW23" s="240"/>
      <c r="BX23" s="240"/>
      <c r="BY23" s="240"/>
      <c r="BZ23" s="240"/>
      <c r="CA23" s="240"/>
      <c r="CB23" s="240"/>
      <c r="CC23" s="240"/>
    </row>
    <row r="24" spans="1:82" s="241" customFormat="1">
      <c r="A24" s="355"/>
      <c r="B24" s="187" t="s">
        <v>381</v>
      </c>
      <c r="C24" s="507">
        <v>45869</v>
      </c>
      <c r="D24" s="389">
        <v>427546</v>
      </c>
      <c r="E24" s="389">
        <f t="shared" si="2"/>
        <v>81233.740000000005</v>
      </c>
      <c r="F24" s="509">
        <f t="shared" si="3"/>
        <v>508779.74</v>
      </c>
      <c r="G24" s="357"/>
      <c r="H24" s="358"/>
      <c r="I24" s="359"/>
      <c r="J24" s="360"/>
      <c r="K24" s="361">
        <v>106940</v>
      </c>
      <c r="L24" s="361">
        <f t="shared" si="0"/>
        <v>20318.599999999999</v>
      </c>
      <c r="M24" s="362">
        <f t="shared" si="1"/>
        <v>127258.6</v>
      </c>
      <c r="N24" s="363"/>
      <c r="O24" s="316"/>
      <c r="P24" s="240"/>
      <c r="Q24" s="240"/>
      <c r="R24" s="240"/>
      <c r="S24" s="240"/>
      <c r="T24" s="240"/>
      <c r="U24" s="240"/>
      <c r="V24" s="240"/>
      <c r="W24" s="240"/>
      <c r="X24" s="240"/>
      <c r="Y24" s="240"/>
      <c r="Z24" s="240"/>
      <c r="AA24" s="240"/>
      <c r="AB24" s="240"/>
      <c r="AC24" s="240"/>
      <c r="AD24" s="240"/>
      <c r="AE24" s="240"/>
      <c r="AF24" s="240"/>
      <c r="AG24" s="240"/>
      <c r="AH24" s="240"/>
      <c r="AI24" s="240"/>
      <c r="AJ24" s="240"/>
      <c r="AK24" s="240"/>
      <c r="AL24" s="240"/>
      <c r="AM24" s="240"/>
      <c r="AN24" s="240"/>
      <c r="AO24" s="240"/>
      <c r="AP24" s="240"/>
      <c r="AQ24" s="240"/>
      <c r="AR24" s="240"/>
      <c r="AS24" s="240"/>
      <c r="AT24" s="240"/>
      <c r="AU24" s="240"/>
      <c r="AV24" s="240"/>
      <c r="AW24" s="240"/>
      <c r="AX24" s="240"/>
      <c r="AY24" s="240"/>
      <c r="AZ24" s="240"/>
      <c r="BA24" s="240"/>
      <c r="BB24" s="240"/>
      <c r="BC24" s="240"/>
      <c r="BD24" s="240"/>
      <c r="BE24" s="240"/>
      <c r="BF24" s="240"/>
      <c r="BG24" s="240"/>
      <c r="BH24" s="240"/>
      <c r="BI24" s="240"/>
      <c r="BJ24" s="240"/>
      <c r="BK24" s="240"/>
      <c r="BL24" s="240"/>
      <c r="BM24" s="240"/>
      <c r="BN24" s="240"/>
      <c r="BO24" s="240"/>
      <c r="BP24" s="240"/>
      <c r="BQ24" s="240"/>
      <c r="BR24" s="240"/>
      <c r="BS24" s="240"/>
      <c r="BT24" s="240"/>
      <c r="BU24" s="240"/>
      <c r="BV24" s="240"/>
      <c r="BW24" s="240"/>
      <c r="BX24" s="240"/>
      <c r="BY24" s="240"/>
      <c r="BZ24" s="240"/>
      <c r="CA24" s="240"/>
      <c r="CB24" s="240"/>
      <c r="CC24" s="240"/>
    </row>
    <row r="25" spans="1:82" s="241" customFormat="1">
      <c r="A25" s="355"/>
      <c r="B25" s="187" t="s">
        <v>382</v>
      </c>
      <c r="C25" s="507">
        <v>45870</v>
      </c>
      <c r="D25" s="389">
        <v>569610</v>
      </c>
      <c r="E25" s="389">
        <f t="shared" si="2"/>
        <v>108225.9</v>
      </c>
      <c r="F25" s="509">
        <f t="shared" si="3"/>
        <v>677835.9</v>
      </c>
      <c r="G25" s="357"/>
      <c r="H25" s="358"/>
      <c r="I25" s="359"/>
      <c r="J25" s="360"/>
      <c r="K25" s="361">
        <v>444263</v>
      </c>
      <c r="L25" s="361">
        <f t="shared" si="0"/>
        <v>84409.97</v>
      </c>
      <c r="M25" s="362">
        <f t="shared" si="1"/>
        <v>528672.97</v>
      </c>
      <c r="N25" s="363"/>
      <c r="O25" s="316"/>
      <c r="P25" s="240"/>
      <c r="Q25" s="240"/>
      <c r="R25" s="240"/>
      <c r="S25" s="240"/>
      <c r="T25" s="240"/>
      <c r="U25" s="240"/>
      <c r="V25" s="240"/>
      <c r="W25" s="240"/>
      <c r="X25" s="240"/>
      <c r="Y25" s="240"/>
      <c r="Z25" s="240"/>
      <c r="AA25" s="240"/>
      <c r="AB25" s="240"/>
      <c r="AC25" s="240"/>
      <c r="AD25" s="240"/>
      <c r="AE25" s="240"/>
      <c r="AF25" s="240"/>
      <c r="AG25" s="240"/>
      <c r="AH25" s="240"/>
      <c r="AI25" s="240"/>
      <c r="AJ25" s="240"/>
      <c r="AK25" s="240"/>
      <c r="AL25" s="240"/>
      <c r="AM25" s="240"/>
      <c r="AN25" s="240"/>
      <c r="AO25" s="240"/>
      <c r="AP25" s="240"/>
      <c r="AQ25" s="240"/>
      <c r="AR25" s="240"/>
      <c r="AS25" s="240"/>
      <c r="AT25" s="240"/>
      <c r="AU25" s="240"/>
      <c r="AV25" s="240"/>
      <c r="AW25" s="240"/>
      <c r="AX25" s="240"/>
      <c r="AY25" s="240"/>
      <c r="AZ25" s="240"/>
      <c r="BA25" s="240"/>
      <c r="BB25" s="240"/>
      <c r="BC25" s="240"/>
      <c r="BD25" s="240"/>
      <c r="BE25" s="240"/>
      <c r="BF25" s="240"/>
      <c r="BG25" s="240"/>
      <c r="BH25" s="240"/>
      <c r="BI25" s="240"/>
      <c r="BJ25" s="240"/>
      <c r="BK25" s="240"/>
      <c r="BL25" s="240"/>
      <c r="BM25" s="240"/>
      <c r="BN25" s="240"/>
      <c r="BO25" s="240"/>
      <c r="BP25" s="240"/>
      <c r="BQ25" s="240"/>
      <c r="BR25" s="240"/>
      <c r="BS25" s="240"/>
      <c r="BT25" s="240"/>
      <c r="BU25" s="240"/>
      <c r="BV25" s="240"/>
      <c r="BW25" s="240"/>
      <c r="BX25" s="240"/>
      <c r="BY25" s="240"/>
      <c r="BZ25" s="240"/>
      <c r="CA25" s="240"/>
      <c r="CB25" s="240"/>
      <c r="CC25" s="240"/>
    </row>
    <row r="26" spans="1:82" s="241" customFormat="1">
      <c r="A26" s="355"/>
      <c r="B26" s="187" t="s">
        <v>383</v>
      </c>
      <c r="C26" s="507">
        <v>45871</v>
      </c>
      <c r="D26" s="389">
        <v>444263</v>
      </c>
      <c r="E26" s="389">
        <f t="shared" si="2"/>
        <v>84409.97</v>
      </c>
      <c r="F26" s="509">
        <f t="shared" si="3"/>
        <v>528672.97</v>
      </c>
      <c r="G26" s="357"/>
      <c r="H26" s="358"/>
      <c r="I26" s="359"/>
      <c r="J26" s="360"/>
      <c r="K26" s="361">
        <v>536610</v>
      </c>
      <c r="L26" s="361">
        <f t="shared" si="0"/>
        <v>101955.9</v>
      </c>
      <c r="M26" s="362">
        <f t="shared" si="1"/>
        <v>638565.9</v>
      </c>
      <c r="N26" s="363"/>
      <c r="O26" s="316"/>
      <c r="P26" s="240"/>
      <c r="Q26" s="240"/>
      <c r="R26" s="240"/>
      <c r="S26" s="240"/>
      <c r="T26" s="240"/>
      <c r="U26" s="240"/>
      <c r="V26" s="240"/>
      <c r="W26" s="240"/>
      <c r="X26" s="240"/>
      <c r="Y26" s="240"/>
      <c r="Z26" s="240"/>
      <c r="AA26" s="240"/>
      <c r="AB26" s="240"/>
      <c r="AC26" s="240"/>
      <c r="AD26" s="240"/>
      <c r="AE26" s="240"/>
      <c r="AF26" s="240"/>
      <c r="AG26" s="240"/>
      <c r="AH26" s="240"/>
      <c r="AI26" s="240"/>
      <c r="AJ26" s="240"/>
      <c r="AK26" s="240"/>
      <c r="AL26" s="240"/>
      <c r="AM26" s="240"/>
      <c r="AN26" s="240"/>
      <c r="AO26" s="240"/>
      <c r="AP26" s="240"/>
      <c r="AQ26" s="240"/>
      <c r="AR26" s="240"/>
      <c r="AS26" s="240"/>
      <c r="AT26" s="240"/>
      <c r="AU26" s="240"/>
      <c r="AV26" s="240"/>
      <c r="AW26" s="240"/>
      <c r="AX26" s="240"/>
      <c r="AY26" s="240"/>
      <c r="AZ26" s="240"/>
      <c r="BA26" s="240"/>
      <c r="BB26" s="240"/>
      <c r="BC26" s="240"/>
      <c r="BD26" s="240"/>
      <c r="BE26" s="240"/>
      <c r="BF26" s="240"/>
      <c r="BG26" s="240"/>
      <c r="BH26" s="240"/>
      <c r="BI26" s="240"/>
      <c r="BJ26" s="240"/>
      <c r="BK26" s="240"/>
      <c r="BL26" s="240"/>
      <c r="BM26" s="240"/>
      <c r="BN26" s="240"/>
      <c r="BO26" s="240"/>
      <c r="BP26" s="240"/>
      <c r="BQ26" s="240"/>
      <c r="BR26" s="240"/>
      <c r="BS26" s="240"/>
      <c r="BT26" s="240"/>
      <c r="BU26" s="240"/>
      <c r="BV26" s="240"/>
      <c r="BW26" s="240"/>
      <c r="BX26" s="240"/>
      <c r="BY26" s="240"/>
      <c r="BZ26" s="240"/>
      <c r="CA26" s="240"/>
      <c r="CB26" s="240"/>
      <c r="CC26" s="240"/>
    </row>
    <row r="27" spans="1:82" s="241" customFormat="1">
      <c r="A27" s="355"/>
      <c r="B27" s="187" t="s">
        <v>384</v>
      </c>
      <c r="C27" s="507">
        <v>45872</v>
      </c>
      <c r="D27" s="389">
        <v>5383830</v>
      </c>
      <c r="E27" s="389">
        <f t="shared" si="2"/>
        <v>1022927.7000000001</v>
      </c>
      <c r="F27" s="509">
        <f t="shared" si="3"/>
        <v>6406757.7000000002</v>
      </c>
      <c r="G27" s="357"/>
      <c r="H27" s="358"/>
      <c r="I27" s="359"/>
      <c r="J27" s="360"/>
      <c r="K27" s="361">
        <v>69546</v>
      </c>
      <c r="L27" s="361">
        <f t="shared" si="0"/>
        <v>13213.74</v>
      </c>
      <c r="M27" s="362">
        <f t="shared" si="1"/>
        <v>82759.740000000005</v>
      </c>
      <c r="N27" s="363"/>
      <c r="O27" s="316"/>
      <c r="P27" s="240"/>
      <c r="Q27" s="240"/>
      <c r="R27" s="240"/>
      <c r="S27" s="240"/>
      <c r="T27" s="240"/>
      <c r="U27" s="240"/>
      <c r="V27" s="240"/>
      <c r="W27" s="240"/>
      <c r="X27" s="240"/>
      <c r="Y27" s="240"/>
      <c r="Z27" s="240"/>
      <c r="AA27" s="240"/>
      <c r="AB27" s="240"/>
      <c r="AC27" s="240"/>
      <c r="AD27" s="240"/>
      <c r="AE27" s="240"/>
      <c r="AF27" s="240"/>
      <c r="AG27" s="240"/>
      <c r="AH27" s="240"/>
      <c r="AI27" s="240"/>
      <c r="AJ27" s="240"/>
      <c r="AK27" s="240"/>
      <c r="AL27" s="240"/>
      <c r="AM27" s="240"/>
      <c r="AN27" s="240"/>
      <c r="AO27" s="240"/>
      <c r="AP27" s="240"/>
      <c r="AQ27" s="240"/>
      <c r="AR27" s="240"/>
      <c r="AS27" s="240"/>
      <c r="AT27" s="240"/>
      <c r="AU27" s="240"/>
      <c r="AV27" s="240"/>
      <c r="AW27" s="240"/>
      <c r="AX27" s="240"/>
      <c r="AY27" s="240"/>
      <c r="AZ27" s="240"/>
      <c r="BA27" s="240"/>
      <c r="BB27" s="240"/>
      <c r="BC27" s="240"/>
      <c r="BD27" s="240"/>
      <c r="BE27" s="240"/>
      <c r="BF27" s="240"/>
      <c r="BG27" s="240"/>
      <c r="BH27" s="240"/>
      <c r="BI27" s="240"/>
      <c r="BJ27" s="240"/>
      <c r="BK27" s="240"/>
      <c r="BL27" s="240"/>
      <c r="BM27" s="240"/>
      <c r="BN27" s="240"/>
      <c r="BO27" s="240"/>
      <c r="BP27" s="240"/>
      <c r="BQ27" s="240"/>
      <c r="BR27" s="240"/>
      <c r="BS27" s="240"/>
      <c r="BT27" s="240"/>
      <c r="BU27" s="240"/>
      <c r="BV27" s="240"/>
      <c r="BW27" s="240"/>
      <c r="BX27" s="240"/>
      <c r="BY27" s="240"/>
      <c r="BZ27" s="240"/>
      <c r="CA27" s="240"/>
      <c r="CB27" s="240"/>
      <c r="CC27" s="240"/>
    </row>
    <row r="28" spans="1:82" s="241" customFormat="1">
      <c r="A28" s="355"/>
      <c r="B28" s="187" t="s">
        <v>385</v>
      </c>
      <c r="C28" s="507">
        <v>45873</v>
      </c>
      <c r="D28" s="389">
        <v>1135300</v>
      </c>
      <c r="E28" s="389">
        <f t="shared" si="2"/>
        <v>215707</v>
      </c>
      <c r="F28" s="509">
        <f t="shared" si="3"/>
        <v>1351007</v>
      </c>
      <c r="G28" s="357"/>
      <c r="H28" s="358"/>
      <c r="I28" s="359"/>
      <c r="J28" s="360"/>
      <c r="K28" s="361">
        <v>264368</v>
      </c>
      <c r="L28" s="361">
        <f t="shared" si="0"/>
        <v>50229.919999999998</v>
      </c>
      <c r="M28" s="362">
        <f t="shared" si="1"/>
        <v>314597.92</v>
      </c>
      <c r="N28" s="363"/>
      <c r="O28" s="316"/>
      <c r="P28" s="240"/>
      <c r="Q28" s="240"/>
      <c r="R28" s="240"/>
      <c r="S28" s="240"/>
      <c r="T28" s="240"/>
      <c r="U28" s="240"/>
      <c r="V28" s="240"/>
      <c r="W28" s="240"/>
      <c r="X28" s="240"/>
      <c r="Y28" s="240"/>
      <c r="Z28" s="240"/>
      <c r="AA28" s="240"/>
      <c r="AB28" s="240"/>
      <c r="AC28" s="240"/>
      <c r="AD28" s="240"/>
      <c r="AE28" s="240"/>
      <c r="AF28" s="240"/>
      <c r="AG28" s="240"/>
      <c r="AH28" s="240"/>
      <c r="AI28" s="240"/>
      <c r="AJ28" s="240"/>
      <c r="AK28" s="240"/>
      <c r="AL28" s="240"/>
      <c r="AM28" s="240"/>
      <c r="AN28" s="240"/>
      <c r="AO28" s="240"/>
      <c r="AP28" s="240"/>
      <c r="AQ28" s="240"/>
      <c r="AR28" s="240"/>
      <c r="AS28" s="240"/>
      <c r="AT28" s="240"/>
      <c r="AU28" s="240"/>
      <c r="AV28" s="240"/>
      <c r="AW28" s="240"/>
      <c r="AX28" s="240"/>
      <c r="AY28" s="240"/>
      <c r="AZ28" s="240"/>
      <c r="BA28" s="240"/>
      <c r="BB28" s="240"/>
      <c r="BC28" s="240"/>
      <c r="BD28" s="240"/>
      <c r="BE28" s="240"/>
      <c r="BF28" s="240"/>
      <c r="BG28" s="240"/>
      <c r="BH28" s="240"/>
      <c r="BI28" s="240"/>
      <c r="BJ28" s="240"/>
      <c r="BK28" s="240"/>
      <c r="BL28" s="240"/>
      <c r="BM28" s="240"/>
      <c r="BN28" s="240"/>
      <c r="BO28" s="240"/>
      <c r="BP28" s="240"/>
      <c r="BQ28" s="240"/>
      <c r="BR28" s="240"/>
      <c r="BS28" s="240"/>
      <c r="BT28" s="240"/>
      <c r="BU28" s="240"/>
      <c r="BV28" s="240"/>
      <c r="BW28" s="240"/>
      <c r="BX28" s="240"/>
      <c r="BY28" s="240"/>
      <c r="BZ28" s="240"/>
      <c r="CA28" s="240"/>
      <c r="CB28" s="240"/>
      <c r="CC28" s="240"/>
    </row>
    <row r="29" spans="1:82" s="241" customFormat="1">
      <c r="A29" s="355"/>
      <c r="B29" s="187" t="s">
        <v>386</v>
      </c>
      <c r="C29" s="507">
        <v>45874</v>
      </c>
      <c r="D29" s="389">
        <v>1358094</v>
      </c>
      <c r="E29" s="389">
        <f t="shared" si="2"/>
        <v>258037.86000000002</v>
      </c>
      <c r="F29" s="509">
        <f t="shared" si="3"/>
        <v>1616131.86</v>
      </c>
      <c r="G29" s="357"/>
      <c r="H29" s="358"/>
      <c r="I29" s="359"/>
      <c r="J29" s="360"/>
      <c r="K29" s="361">
        <v>1161518</v>
      </c>
      <c r="L29" s="361">
        <f t="shared" si="0"/>
        <v>220688.42</v>
      </c>
      <c r="M29" s="362">
        <f t="shared" si="1"/>
        <v>1382206.42</v>
      </c>
      <c r="N29" s="363"/>
      <c r="O29" s="316"/>
      <c r="P29" s="240"/>
      <c r="Q29" s="240"/>
      <c r="R29" s="240"/>
      <c r="S29" s="240"/>
      <c r="T29" s="240"/>
      <c r="U29" s="240"/>
      <c r="V29" s="240"/>
      <c r="W29" s="240"/>
      <c r="X29" s="240"/>
      <c r="Y29" s="240"/>
      <c r="Z29" s="240"/>
      <c r="AA29" s="240"/>
      <c r="AB29" s="240"/>
      <c r="AC29" s="240"/>
      <c r="AD29" s="240"/>
      <c r="AE29" s="240"/>
      <c r="AF29" s="240"/>
      <c r="AG29" s="240"/>
      <c r="AH29" s="240"/>
      <c r="AI29" s="240"/>
      <c r="AJ29" s="240"/>
      <c r="AK29" s="240"/>
      <c r="AL29" s="240"/>
      <c r="AM29" s="240"/>
      <c r="AN29" s="240"/>
      <c r="AO29" s="240"/>
      <c r="AP29" s="240"/>
      <c r="AQ29" s="240"/>
      <c r="AR29" s="240"/>
      <c r="AS29" s="240"/>
      <c r="AT29" s="240"/>
      <c r="AU29" s="240"/>
      <c r="AV29" s="240"/>
      <c r="AW29" s="240"/>
      <c r="AX29" s="240"/>
      <c r="AY29" s="240"/>
      <c r="AZ29" s="240"/>
      <c r="BA29" s="240"/>
      <c r="BB29" s="240"/>
      <c r="BC29" s="240"/>
      <c r="BD29" s="240"/>
      <c r="BE29" s="240"/>
      <c r="BF29" s="240"/>
      <c r="BG29" s="240"/>
      <c r="BH29" s="240"/>
      <c r="BI29" s="240"/>
      <c r="BJ29" s="240"/>
      <c r="BK29" s="240"/>
      <c r="BL29" s="240"/>
      <c r="BM29" s="240"/>
      <c r="BN29" s="240"/>
      <c r="BO29" s="240"/>
      <c r="BP29" s="240"/>
      <c r="BQ29" s="240"/>
      <c r="BR29" s="240"/>
      <c r="BS29" s="240"/>
      <c r="BT29" s="240"/>
      <c r="BU29" s="240"/>
      <c r="BV29" s="240"/>
      <c r="BW29" s="240"/>
      <c r="BX29" s="240"/>
      <c r="BY29" s="240"/>
      <c r="BZ29" s="240"/>
      <c r="CA29" s="240"/>
      <c r="CB29" s="240"/>
      <c r="CC29" s="240"/>
    </row>
    <row r="30" spans="1:82" s="241" customFormat="1">
      <c r="A30" s="355"/>
      <c r="B30" s="187" t="s">
        <v>387</v>
      </c>
      <c r="C30" s="507">
        <v>45875</v>
      </c>
      <c r="D30" s="389">
        <v>166703</v>
      </c>
      <c r="E30" s="389">
        <f t="shared" si="2"/>
        <v>31673.57</v>
      </c>
      <c r="F30" s="509">
        <f t="shared" si="3"/>
        <v>198376.57</v>
      </c>
      <c r="G30" s="357"/>
      <c r="H30" s="358"/>
      <c r="I30" s="359"/>
      <c r="J30" s="360"/>
      <c r="K30" s="361">
        <v>155117</v>
      </c>
      <c r="L30" s="361">
        <f t="shared" si="0"/>
        <v>29472.23</v>
      </c>
      <c r="M30" s="362">
        <f t="shared" si="1"/>
        <v>184589.23</v>
      </c>
      <c r="N30" s="363"/>
      <c r="O30" s="316"/>
      <c r="P30" s="240"/>
      <c r="Q30" s="240"/>
      <c r="R30" s="240"/>
      <c r="S30" s="240"/>
      <c r="T30" s="240"/>
      <c r="U30" s="240"/>
      <c r="V30" s="240"/>
      <c r="W30" s="240"/>
      <c r="X30" s="240"/>
      <c r="Y30" s="240"/>
      <c r="Z30" s="240"/>
      <c r="AA30" s="240"/>
      <c r="AB30" s="240"/>
      <c r="AC30" s="240"/>
      <c r="AD30" s="240"/>
      <c r="AE30" s="240"/>
      <c r="AF30" s="240"/>
      <c r="AG30" s="240"/>
      <c r="AH30" s="240"/>
      <c r="AI30" s="240"/>
      <c r="AJ30" s="240"/>
      <c r="AK30" s="240"/>
      <c r="AL30" s="240"/>
      <c r="AM30" s="240"/>
      <c r="AN30" s="240"/>
      <c r="AO30" s="240"/>
      <c r="AP30" s="240"/>
      <c r="AQ30" s="240"/>
      <c r="AR30" s="240"/>
      <c r="AS30" s="240"/>
      <c r="AT30" s="240"/>
      <c r="AU30" s="240"/>
      <c r="AV30" s="240"/>
      <c r="AW30" s="240"/>
      <c r="AX30" s="240"/>
      <c r="AY30" s="240"/>
      <c r="AZ30" s="240"/>
      <c r="BA30" s="240"/>
      <c r="BB30" s="240"/>
      <c r="BC30" s="240"/>
      <c r="BD30" s="240"/>
      <c r="BE30" s="240"/>
      <c r="BF30" s="240"/>
      <c r="BG30" s="240"/>
      <c r="BH30" s="240"/>
      <c r="BI30" s="240"/>
      <c r="BJ30" s="240"/>
      <c r="BK30" s="240"/>
      <c r="BL30" s="240"/>
      <c r="BM30" s="240"/>
      <c r="BN30" s="240"/>
      <c r="BO30" s="240"/>
      <c r="BP30" s="240"/>
      <c r="BQ30" s="240"/>
      <c r="BR30" s="240"/>
      <c r="BS30" s="240"/>
      <c r="BT30" s="240"/>
      <c r="BU30" s="240"/>
      <c r="BV30" s="240"/>
      <c r="BW30" s="240"/>
      <c r="BX30" s="240"/>
      <c r="BY30" s="240"/>
      <c r="BZ30" s="240"/>
      <c r="CA30" s="240"/>
      <c r="CB30" s="240"/>
      <c r="CC30" s="240"/>
    </row>
    <row r="31" spans="1:82" s="241" customFormat="1">
      <c r="A31" s="355"/>
      <c r="B31" s="187" t="s">
        <v>388</v>
      </c>
      <c r="C31" s="507">
        <v>45876</v>
      </c>
      <c r="D31" s="389">
        <v>1161517</v>
      </c>
      <c r="E31" s="389">
        <f t="shared" si="2"/>
        <v>220688.23</v>
      </c>
      <c r="F31" s="509">
        <f t="shared" si="3"/>
        <v>1382205.23</v>
      </c>
      <c r="G31" s="357"/>
      <c r="H31" s="358"/>
      <c r="I31" s="359"/>
      <c r="J31" s="360"/>
      <c r="K31" s="361">
        <v>50391</v>
      </c>
      <c r="L31" s="361">
        <f t="shared" si="0"/>
        <v>9574.2900000000009</v>
      </c>
      <c r="M31" s="362">
        <f t="shared" si="1"/>
        <v>59965.29</v>
      </c>
      <c r="N31" s="363"/>
      <c r="O31" s="316"/>
      <c r="P31" s="240"/>
      <c r="Q31" s="240"/>
      <c r="R31" s="240"/>
      <c r="S31" s="240"/>
      <c r="T31" s="240"/>
      <c r="U31" s="240"/>
      <c r="V31" s="240"/>
      <c r="W31" s="240"/>
      <c r="X31" s="240"/>
      <c r="Y31" s="240"/>
      <c r="Z31" s="240"/>
      <c r="AA31" s="240"/>
      <c r="AB31" s="240"/>
      <c r="AC31" s="240"/>
      <c r="AD31" s="240"/>
      <c r="AE31" s="240"/>
      <c r="AF31" s="240"/>
      <c r="AG31" s="240"/>
      <c r="AH31" s="240"/>
      <c r="AI31" s="240"/>
      <c r="AJ31" s="240"/>
      <c r="AK31" s="240"/>
      <c r="AL31" s="240"/>
      <c r="AM31" s="240"/>
      <c r="AN31" s="240"/>
      <c r="AO31" s="240"/>
      <c r="AP31" s="240"/>
      <c r="AQ31" s="240"/>
      <c r="AR31" s="240"/>
      <c r="AS31" s="240"/>
      <c r="AT31" s="240"/>
      <c r="AU31" s="240"/>
      <c r="AV31" s="240"/>
      <c r="AW31" s="240"/>
      <c r="AX31" s="240"/>
      <c r="AY31" s="240"/>
      <c r="AZ31" s="240"/>
      <c r="BA31" s="240"/>
      <c r="BB31" s="240"/>
      <c r="BC31" s="240"/>
      <c r="BD31" s="240"/>
      <c r="BE31" s="240"/>
      <c r="BF31" s="240"/>
      <c r="BG31" s="240"/>
      <c r="BH31" s="240"/>
      <c r="BI31" s="240"/>
      <c r="BJ31" s="240"/>
      <c r="BK31" s="240"/>
      <c r="BL31" s="240"/>
      <c r="BM31" s="240"/>
      <c r="BN31" s="240"/>
      <c r="BO31" s="240"/>
      <c r="BP31" s="240"/>
      <c r="BQ31" s="240"/>
      <c r="BR31" s="240"/>
      <c r="BS31" s="240"/>
      <c r="BT31" s="240"/>
      <c r="BU31" s="240"/>
      <c r="BV31" s="240"/>
      <c r="BW31" s="240"/>
      <c r="BX31" s="240"/>
      <c r="BY31" s="240"/>
      <c r="BZ31" s="240"/>
      <c r="CA31" s="240"/>
      <c r="CB31" s="240"/>
      <c r="CC31" s="240"/>
    </row>
    <row r="32" spans="1:82" s="241" customFormat="1">
      <c r="A32" s="355"/>
      <c r="B32" s="187" t="s">
        <v>389</v>
      </c>
      <c r="C32" s="507">
        <v>45877</v>
      </c>
      <c r="D32" s="389">
        <v>69546</v>
      </c>
      <c r="E32" s="389">
        <f t="shared" si="2"/>
        <v>13213.74</v>
      </c>
      <c r="F32" s="509">
        <f t="shared" si="3"/>
        <v>82759.740000000005</v>
      </c>
      <c r="G32" s="357"/>
      <c r="H32" s="358"/>
      <c r="I32" s="359"/>
      <c r="J32" s="360"/>
      <c r="K32" s="361">
        <v>43751</v>
      </c>
      <c r="L32" s="361">
        <f t="shared" si="0"/>
        <v>8312.69</v>
      </c>
      <c r="M32" s="362">
        <f t="shared" si="1"/>
        <v>52063.69</v>
      </c>
      <c r="N32" s="363"/>
      <c r="O32" s="316"/>
      <c r="P32" s="240"/>
      <c r="Q32" s="240"/>
      <c r="R32" s="240"/>
      <c r="S32" s="240"/>
      <c r="T32" s="240"/>
      <c r="U32" s="240"/>
      <c r="V32" s="240"/>
      <c r="W32" s="240"/>
      <c r="X32" s="240"/>
      <c r="Y32" s="240"/>
      <c r="Z32" s="240"/>
      <c r="AA32" s="240"/>
      <c r="AB32" s="240"/>
      <c r="AC32" s="240"/>
      <c r="AD32" s="240"/>
      <c r="AE32" s="240"/>
      <c r="AF32" s="240"/>
      <c r="AG32" s="240"/>
      <c r="AH32" s="240"/>
      <c r="AI32" s="240"/>
      <c r="AJ32" s="240"/>
      <c r="AK32" s="240"/>
      <c r="AL32" s="240"/>
      <c r="AM32" s="240"/>
      <c r="AN32" s="240"/>
      <c r="AO32" s="240"/>
      <c r="AP32" s="240"/>
      <c r="AQ32" s="240"/>
      <c r="AR32" s="240"/>
      <c r="AS32" s="240"/>
      <c r="AT32" s="240"/>
      <c r="AU32" s="240"/>
      <c r="AV32" s="240"/>
      <c r="AW32" s="240"/>
      <c r="AX32" s="240"/>
      <c r="AY32" s="240"/>
      <c r="AZ32" s="240"/>
      <c r="BA32" s="240"/>
      <c r="BB32" s="240"/>
      <c r="BC32" s="240"/>
      <c r="BD32" s="240"/>
      <c r="BE32" s="240"/>
      <c r="BF32" s="240"/>
      <c r="BG32" s="240"/>
      <c r="BH32" s="240"/>
      <c r="BI32" s="240"/>
      <c r="BJ32" s="240"/>
      <c r="BK32" s="240"/>
      <c r="BL32" s="240"/>
      <c r="BM32" s="240"/>
      <c r="BN32" s="240"/>
      <c r="BO32" s="240"/>
      <c r="BP32" s="240"/>
      <c r="BQ32" s="240"/>
      <c r="BR32" s="240"/>
      <c r="BS32" s="240"/>
      <c r="BT32" s="240"/>
      <c r="BU32" s="240"/>
      <c r="BV32" s="240"/>
      <c r="BW32" s="240"/>
      <c r="BX32" s="240"/>
      <c r="BY32" s="240"/>
      <c r="BZ32" s="240"/>
      <c r="CA32" s="240"/>
      <c r="CB32" s="240"/>
      <c r="CC32" s="240"/>
    </row>
    <row r="33" spans="1:81" s="241" customFormat="1">
      <c r="A33" s="355"/>
      <c r="B33" s="187" t="s">
        <v>390</v>
      </c>
      <c r="C33" s="507">
        <v>45878</v>
      </c>
      <c r="D33" s="389">
        <v>43751</v>
      </c>
      <c r="E33" s="389">
        <f t="shared" si="2"/>
        <v>8312.69</v>
      </c>
      <c r="F33" s="509">
        <f t="shared" si="3"/>
        <v>52063.69</v>
      </c>
      <c r="G33" s="357"/>
      <c r="H33" s="358"/>
      <c r="I33" s="359"/>
      <c r="J33" s="360"/>
      <c r="K33" s="361">
        <v>163168</v>
      </c>
      <c r="L33" s="361">
        <f t="shared" si="0"/>
        <v>31001.920000000002</v>
      </c>
      <c r="M33" s="362">
        <f t="shared" si="1"/>
        <v>194169.92</v>
      </c>
      <c r="N33" s="363"/>
      <c r="O33" s="316"/>
      <c r="P33" s="240"/>
      <c r="Q33" s="240"/>
      <c r="R33" s="240"/>
      <c r="S33" s="240"/>
      <c r="T33" s="240"/>
      <c r="U33" s="240"/>
      <c r="V33" s="240"/>
      <c r="W33" s="240"/>
      <c r="X33" s="240"/>
      <c r="Y33" s="240"/>
      <c r="Z33" s="240"/>
      <c r="AA33" s="240"/>
      <c r="AB33" s="240"/>
      <c r="AC33" s="240"/>
      <c r="AD33" s="240"/>
      <c r="AE33" s="240"/>
      <c r="AF33" s="240"/>
      <c r="AG33" s="240"/>
      <c r="AH33" s="240"/>
      <c r="AI33" s="240"/>
      <c r="AJ33" s="240"/>
      <c r="AK33" s="240"/>
      <c r="AL33" s="240"/>
      <c r="AM33" s="240"/>
      <c r="AN33" s="240"/>
      <c r="AO33" s="240"/>
      <c r="AP33" s="240"/>
      <c r="AQ33" s="240"/>
      <c r="AR33" s="240"/>
      <c r="AS33" s="240"/>
      <c r="AT33" s="240"/>
      <c r="AU33" s="240"/>
      <c r="AV33" s="240"/>
      <c r="AW33" s="240"/>
      <c r="AX33" s="240"/>
      <c r="AY33" s="240"/>
      <c r="AZ33" s="240"/>
      <c r="BA33" s="240"/>
      <c r="BB33" s="240"/>
      <c r="BC33" s="240"/>
      <c r="BD33" s="240"/>
      <c r="BE33" s="240"/>
      <c r="BF33" s="240"/>
      <c r="BG33" s="240"/>
      <c r="BH33" s="240"/>
      <c r="BI33" s="240"/>
      <c r="BJ33" s="240"/>
      <c r="BK33" s="240"/>
      <c r="BL33" s="240"/>
      <c r="BM33" s="240"/>
      <c r="BN33" s="240"/>
      <c r="BO33" s="240"/>
      <c r="BP33" s="240"/>
      <c r="BQ33" s="240"/>
      <c r="BR33" s="240"/>
      <c r="BS33" s="240"/>
      <c r="BT33" s="240"/>
      <c r="BU33" s="240"/>
      <c r="BV33" s="240"/>
      <c r="BW33" s="240"/>
      <c r="BX33" s="240"/>
      <c r="BY33" s="240"/>
      <c r="BZ33" s="240"/>
      <c r="CA33" s="240"/>
      <c r="CB33" s="240"/>
      <c r="CC33" s="240"/>
    </row>
    <row r="34" spans="1:81" s="241" customFormat="1">
      <c r="A34" s="355"/>
      <c r="B34" s="187" t="s">
        <v>391</v>
      </c>
      <c r="C34" s="507">
        <v>45879</v>
      </c>
      <c r="D34" s="389">
        <v>155113</v>
      </c>
      <c r="E34" s="389">
        <f>D34*0.19</f>
        <v>29471.47</v>
      </c>
      <c r="F34" s="509">
        <f>D34+E34</f>
        <v>184584.47</v>
      </c>
      <c r="G34" s="357"/>
      <c r="H34" s="358"/>
      <c r="I34" s="359"/>
      <c r="J34" s="360"/>
      <c r="K34" s="361">
        <v>534467</v>
      </c>
      <c r="L34" s="361">
        <f t="shared" si="0"/>
        <v>101548.73</v>
      </c>
      <c r="M34" s="362">
        <f t="shared" si="1"/>
        <v>636015.73</v>
      </c>
      <c r="N34" s="363"/>
      <c r="O34" s="316"/>
      <c r="P34" s="240"/>
      <c r="Q34" s="240"/>
      <c r="R34" s="240"/>
      <c r="S34" s="240"/>
      <c r="T34" s="240"/>
      <c r="U34" s="240"/>
      <c r="V34" s="240"/>
      <c r="W34" s="240"/>
      <c r="X34" s="240"/>
      <c r="Y34" s="240"/>
      <c r="Z34" s="240"/>
      <c r="AA34" s="240"/>
      <c r="AB34" s="240"/>
      <c r="AC34" s="240"/>
      <c r="AD34" s="240"/>
      <c r="AE34" s="240"/>
      <c r="AF34" s="240"/>
      <c r="AG34" s="240"/>
      <c r="AH34" s="240"/>
      <c r="AI34" s="240"/>
      <c r="AJ34" s="240"/>
      <c r="AK34" s="240"/>
      <c r="AL34" s="240"/>
      <c r="AM34" s="240"/>
      <c r="AN34" s="240"/>
      <c r="AO34" s="240"/>
      <c r="AP34" s="240"/>
      <c r="AQ34" s="240"/>
      <c r="AR34" s="240"/>
      <c r="AS34" s="240"/>
      <c r="AT34" s="240"/>
      <c r="AU34" s="240"/>
      <c r="AV34" s="240"/>
      <c r="AW34" s="240"/>
      <c r="AX34" s="240"/>
      <c r="AY34" s="240"/>
      <c r="AZ34" s="240"/>
      <c r="BA34" s="240"/>
      <c r="BB34" s="240"/>
      <c r="BC34" s="240"/>
      <c r="BD34" s="240"/>
      <c r="BE34" s="240"/>
      <c r="BF34" s="240"/>
      <c r="BG34" s="240"/>
      <c r="BH34" s="240"/>
      <c r="BI34" s="240"/>
      <c r="BJ34" s="240"/>
      <c r="BK34" s="240"/>
      <c r="BL34" s="240"/>
      <c r="BM34" s="240"/>
      <c r="BN34" s="240"/>
      <c r="BO34" s="240"/>
      <c r="BP34" s="240"/>
      <c r="BQ34" s="240"/>
      <c r="BR34" s="240"/>
      <c r="BS34" s="240"/>
      <c r="BT34" s="240"/>
      <c r="BU34" s="240"/>
      <c r="BV34" s="240"/>
      <c r="BW34" s="240"/>
      <c r="BX34" s="240"/>
      <c r="BY34" s="240"/>
      <c r="BZ34" s="240"/>
      <c r="CA34" s="240"/>
      <c r="CB34" s="240"/>
      <c r="CC34" s="240"/>
    </row>
    <row r="35" spans="1:81" s="241" customFormat="1">
      <c r="A35" s="355"/>
      <c r="B35" s="187" t="s">
        <v>393</v>
      </c>
      <c r="C35" s="507">
        <v>45882</v>
      </c>
      <c r="D35" s="389">
        <v>248491</v>
      </c>
      <c r="E35" s="389">
        <f>D35*0.19</f>
        <v>47213.29</v>
      </c>
      <c r="F35" s="509">
        <f>D35+E35</f>
        <v>295704.28999999998</v>
      </c>
      <c r="G35" s="357"/>
      <c r="H35" s="358"/>
      <c r="I35" s="359"/>
      <c r="J35" s="360"/>
      <c r="K35" s="361">
        <v>218636</v>
      </c>
      <c r="L35" s="361">
        <f t="shared" si="0"/>
        <v>41540.840000000004</v>
      </c>
      <c r="M35" s="362">
        <f t="shared" ref="M35:M38" si="4">+K35+L35</f>
        <v>260176.84</v>
      </c>
      <c r="N35" s="363"/>
      <c r="O35" s="316"/>
      <c r="P35" s="240"/>
      <c r="Q35" s="240"/>
      <c r="R35" s="240"/>
      <c r="S35" s="240"/>
      <c r="T35" s="240"/>
      <c r="U35" s="240"/>
      <c r="V35" s="240"/>
      <c r="W35" s="240"/>
      <c r="X35" s="240"/>
      <c r="Y35" s="240"/>
      <c r="Z35" s="240"/>
      <c r="AA35" s="240"/>
      <c r="AB35" s="240"/>
      <c r="AC35" s="240"/>
      <c r="AD35" s="240"/>
      <c r="AE35" s="240"/>
      <c r="AF35" s="240"/>
      <c r="AG35" s="240"/>
      <c r="AH35" s="240"/>
      <c r="AI35" s="240"/>
      <c r="AJ35" s="240"/>
      <c r="AK35" s="240"/>
      <c r="AL35" s="240"/>
      <c r="AM35" s="240"/>
      <c r="AN35" s="240"/>
      <c r="AO35" s="240"/>
      <c r="AP35" s="240"/>
      <c r="AQ35" s="240"/>
      <c r="AR35" s="240"/>
      <c r="AS35" s="240"/>
      <c r="AT35" s="240"/>
      <c r="AU35" s="240"/>
      <c r="AV35" s="240"/>
      <c r="AW35" s="240"/>
      <c r="AX35" s="240"/>
      <c r="AY35" s="240"/>
      <c r="AZ35" s="240"/>
      <c r="BA35" s="240"/>
      <c r="BB35" s="240"/>
      <c r="BC35" s="240"/>
      <c r="BD35" s="240"/>
      <c r="BE35" s="240"/>
      <c r="BF35" s="240"/>
      <c r="BG35" s="240"/>
      <c r="BH35" s="240"/>
      <c r="BI35" s="240"/>
      <c r="BJ35" s="240"/>
      <c r="BK35" s="240"/>
      <c r="BL35" s="240"/>
      <c r="BM35" s="240"/>
      <c r="BN35" s="240"/>
      <c r="BO35" s="240"/>
      <c r="BP35" s="240"/>
      <c r="BQ35" s="240"/>
      <c r="BR35" s="240"/>
      <c r="BS35" s="240"/>
      <c r="BT35" s="240"/>
      <c r="BU35" s="240"/>
      <c r="BV35" s="240"/>
      <c r="BW35" s="240"/>
      <c r="BX35" s="240"/>
      <c r="BY35" s="240"/>
      <c r="BZ35" s="240"/>
      <c r="CA35" s="240"/>
      <c r="CB35" s="240"/>
      <c r="CC35" s="240"/>
    </row>
    <row r="36" spans="1:81" s="241" customFormat="1">
      <c r="A36" s="355"/>
      <c r="B36" s="187" t="s">
        <v>394</v>
      </c>
      <c r="C36" s="507">
        <v>45883</v>
      </c>
      <c r="D36" s="389">
        <v>297687</v>
      </c>
      <c r="E36" s="389">
        <f>D36*0.19</f>
        <v>56560.53</v>
      </c>
      <c r="F36" s="509">
        <f>D36+E36</f>
        <v>354247.53</v>
      </c>
      <c r="G36" s="357"/>
      <c r="H36" s="358"/>
      <c r="I36" s="359"/>
      <c r="J36" s="360"/>
      <c r="K36" s="361">
        <v>825567</v>
      </c>
      <c r="L36" s="361">
        <f t="shared" si="0"/>
        <v>156857.73000000001</v>
      </c>
      <c r="M36" s="362">
        <f t="shared" si="4"/>
        <v>982424.73</v>
      </c>
      <c r="N36" s="363"/>
      <c r="O36" s="316"/>
      <c r="P36" s="240"/>
      <c r="Q36" s="240"/>
      <c r="R36" s="240"/>
      <c r="S36" s="240"/>
      <c r="T36" s="240"/>
      <c r="U36" s="240"/>
      <c r="V36" s="240"/>
      <c r="W36" s="240"/>
      <c r="X36" s="240"/>
      <c r="Y36" s="240"/>
      <c r="Z36" s="240"/>
      <c r="AA36" s="240"/>
      <c r="AB36" s="240"/>
      <c r="AC36" s="240"/>
      <c r="AD36" s="240"/>
      <c r="AE36" s="240"/>
      <c r="AF36" s="240"/>
      <c r="AG36" s="240"/>
      <c r="AH36" s="240"/>
      <c r="AI36" s="240"/>
      <c r="AJ36" s="240"/>
      <c r="AK36" s="240"/>
      <c r="AL36" s="240"/>
      <c r="AM36" s="240"/>
      <c r="AN36" s="240"/>
      <c r="AO36" s="240"/>
      <c r="AP36" s="240"/>
      <c r="AQ36" s="240"/>
      <c r="AR36" s="240"/>
      <c r="AS36" s="240"/>
      <c r="AT36" s="240"/>
      <c r="AU36" s="240"/>
      <c r="AV36" s="240"/>
      <c r="AW36" s="240"/>
      <c r="AX36" s="240"/>
      <c r="AY36" s="240"/>
      <c r="AZ36" s="240"/>
      <c r="BA36" s="240"/>
      <c r="BB36" s="240"/>
      <c r="BC36" s="240"/>
      <c r="BD36" s="240"/>
      <c r="BE36" s="240"/>
      <c r="BF36" s="240"/>
      <c r="BG36" s="240"/>
      <c r="BH36" s="240"/>
      <c r="BI36" s="240"/>
      <c r="BJ36" s="240"/>
      <c r="BK36" s="240"/>
      <c r="BL36" s="240"/>
      <c r="BM36" s="240"/>
      <c r="BN36" s="240"/>
      <c r="BO36" s="240"/>
      <c r="BP36" s="240"/>
      <c r="BQ36" s="240"/>
      <c r="BR36" s="240"/>
      <c r="BS36" s="240"/>
      <c r="BT36" s="240"/>
      <c r="BU36" s="240"/>
      <c r="BV36" s="240"/>
      <c r="BW36" s="240"/>
      <c r="BX36" s="240"/>
      <c r="BY36" s="240"/>
      <c r="BZ36" s="240"/>
      <c r="CA36" s="240"/>
      <c r="CB36" s="240"/>
      <c r="CC36" s="240"/>
    </row>
    <row r="37" spans="1:81" s="241" customFormat="1">
      <c r="A37" s="355"/>
      <c r="B37" s="187" t="s">
        <v>395</v>
      </c>
      <c r="C37" s="507">
        <v>45884</v>
      </c>
      <c r="D37" s="389">
        <v>303176</v>
      </c>
      <c r="E37" s="389">
        <f t="shared" ref="E37" si="5">D37*0.19</f>
        <v>57603.44</v>
      </c>
      <c r="F37" s="509">
        <f t="shared" ref="F37" si="6">D37+E37</f>
        <v>360779.44</v>
      </c>
      <c r="G37" s="357"/>
      <c r="H37" s="358"/>
      <c r="I37" s="359"/>
      <c r="J37" s="360"/>
      <c r="K37" s="361">
        <v>4604538</v>
      </c>
      <c r="L37" s="361">
        <f t="shared" si="0"/>
        <v>874862.22</v>
      </c>
      <c r="M37" s="362">
        <f t="shared" si="4"/>
        <v>5479400.2199999997</v>
      </c>
      <c r="N37" s="363"/>
      <c r="O37" s="316"/>
      <c r="P37" s="240"/>
      <c r="Q37" s="240"/>
      <c r="R37" s="240"/>
      <c r="S37" s="240"/>
      <c r="T37" s="240"/>
      <c r="U37" s="240"/>
      <c r="V37" s="240"/>
      <c r="W37" s="240"/>
      <c r="X37" s="240"/>
      <c r="Y37" s="240"/>
      <c r="Z37" s="240"/>
      <c r="AA37" s="240"/>
      <c r="AB37" s="240"/>
      <c r="AC37" s="240"/>
      <c r="AD37" s="240"/>
      <c r="AE37" s="240"/>
      <c r="AF37" s="240"/>
      <c r="AG37" s="240"/>
      <c r="AH37" s="240"/>
      <c r="AI37" s="240"/>
      <c r="AJ37" s="240"/>
      <c r="AK37" s="240"/>
      <c r="AL37" s="240"/>
      <c r="AM37" s="240"/>
      <c r="AN37" s="240"/>
      <c r="AO37" s="240"/>
      <c r="AP37" s="240"/>
      <c r="AQ37" s="240"/>
      <c r="AR37" s="240"/>
      <c r="AS37" s="240"/>
      <c r="AT37" s="240"/>
      <c r="AU37" s="240"/>
      <c r="AV37" s="240"/>
      <c r="AW37" s="240"/>
      <c r="AX37" s="240"/>
      <c r="AY37" s="240"/>
      <c r="AZ37" s="240"/>
      <c r="BA37" s="240"/>
      <c r="BB37" s="240"/>
      <c r="BC37" s="240"/>
      <c r="BD37" s="240"/>
      <c r="BE37" s="240"/>
      <c r="BF37" s="240"/>
      <c r="BG37" s="240"/>
      <c r="BH37" s="240"/>
      <c r="BI37" s="240"/>
      <c r="BJ37" s="240"/>
      <c r="BK37" s="240"/>
      <c r="BL37" s="240"/>
      <c r="BM37" s="240"/>
      <c r="BN37" s="240"/>
      <c r="BO37" s="240"/>
      <c r="BP37" s="240"/>
      <c r="BQ37" s="240"/>
      <c r="BR37" s="240"/>
      <c r="BS37" s="240"/>
      <c r="BT37" s="240"/>
      <c r="BU37" s="240"/>
      <c r="BV37" s="240"/>
      <c r="BW37" s="240"/>
      <c r="BX37" s="240"/>
      <c r="BY37" s="240"/>
      <c r="BZ37" s="240"/>
      <c r="CA37" s="240"/>
      <c r="CB37" s="240"/>
      <c r="CC37" s="240"/>
    </row>
    <row r="38" spans="1:81" s="241" customFormat="1">
      <c r="A38" s="355"/>
      <c r="B38" s="187">
        <v>3472</v>
      </c>
      <c r="C38" s="507">
        <v>45887</v>
      </c>
      <c r="D38" s="389">
        <v>51120</v>
      </c>
      <c r="E38" s="389">
        <f t="shared" ref="E38" si="7">D38*0.19</f>
        <v>9712.7999999999993</v>
      </c>
      <c r="F38" s="509">
        <f t="shared" ref="F38" si="8">D38+E38</f>
        <v>60832.800000000003</v>
      </c>
      <c r="G38" s="510"/>
      <c r="H38" s="335"/>
      <c r="I38" s="511"/>
      <c r="J38" s="512"/>
      <c r="K38" s="361">
        <v>297685</v>
      </c>
      <c r="L38" s="361">
        <f t="shared" si="0"/>
        <v>56560.15</v>
      </c>
      <c r="M38" s="362">
        <f t="shared" si="4"/>
        <v>354245.15</v>
      </c>
      <c r="N38" s="363"/>
      <c r="O38" s="316"/>
      <c r="P38" s="240"/>
      <c r="Q38" s="240"/>
      <c r="R38" s="240"/>
      <c r="S38" s="240"/>
      <c r="T38" s="240"/>
      <c r="U38" s="240"/>
      <c r="V38" s="240"/>
      <c r="W38" s="240"/>
      <c r="X38" s="240"/>
      <c r="Y38" s="240"/>
      <c r="Z38" s="240"/>
      <c r="AA38" s="240"/>
      <c r="AB38" s="240"/>
      <c r="AC38" s="240"/>
      <c r="AD38" s="240"/>
      <c r="AE38" s="240"/>
      <c r="AF38" s="240"/>
      <c r="AG38" s="240"/>
      <c r="AH38" s="240"/>
      <c r="AI38" s="240"/>
      <c r="AJ38" s="240"/>
      <c r="AK38" s="240"/>
      <c r="AL38" s="240"/>
      <c r="AM38" s="240"/>
      <c r="AN38" s="240"/>
      <c r="AO38" s="240"/>
      <c r="AP38" s="240"/>
      <c r="AQ38" s="240"/>
      <c r="AR38" s="240"/>
      <c r="AS38" s="240"/>
      <c r="AT38" s="240"/>
      <c r="AU38" s="240"/>
      <c r="AV38" s="240"/>
      <c r="AW38" s="240"/>
      <c r="AX38" s="240"/>
      <c r="AY38" s="240"/>
      <c r="AZ38" s="240"/>
      <c r="BA38" s="240"/>
      <c r="BB38" s="240"/>
      <c r="BC38" s="240"/>
      <c r="BD38" s="240"/>
      <c r="BE38" s="240"/>
      <c r="BF38" s="240"/>
      <c r="BG38" s="240"/>
      <c r="BH38" s="240"/>
      <c r="BI38" s="240"/>
      <c r="BJ38" s="240"/>
      <c r="BK38" s="240"/>
      <c r="BL38" s="240"/>
      <c r="BM38" s="240"/>
      <c r="BN38" s="240"/>
      <c r="BO38" s="240"/>
      <c r="BP38" s="240"/>
      <c r="BQ38" s="240"/>
      <c r="BR38" s="240"/>
      <c r="BS38" s="240"/>
      <c r="BT38" s="240"/>
      <c r="BU38" s="240"/>
      <c r="BV38" s="240"/>
      <c r="BW38" s="240"/>
      <c r="BX38" s="240"/>
      <c r="BY38" s="240"/>
      <c r="BZ38" s="240"/>
      <c r="CA38" s="240"/>
      <c r="CB38" s="240"/>
      <c r="CC38" s="240"/>
    </row>
    <row r="39" spans="1:81" s="241" customFormat="1">
      <c r="A39" s="355"/>
      <c r="B39" s="187">
        <v>3475</v>
      </c>
      <c r="C39" s="507">
        <v>45889</v>
      </c>
      <c r="D39" s="389">
        <v>219318</v>
      </c>
      <c r="E39" s="389">
        <f t="shared" ref="E39" si="9">D39*0.19</f>
        <v>41670.42</v>
      </c>
      <c r="F39" s="509">
        <f t="shared" ref="F39" si="10">D39+E39</f>
        <v>260988.41999999998</v>
      </c>
      <c r="G39" s="357"/>
      <c r="H39" s="335"/>
      <c r="I39" s="511"/>
      <c r="J39" s="512"/>
      <c r="K39" s="361">
        <v>456806</v>
      </c>
      <c r="L39" s="361">
        <f t="shared" ref="L39:L59" si="11">+K39*0.19</f>
        <v>86793.14</v>
      </c>
      <c r="M39" s="362">
        <f t="shared" ref="M39:M59" si="12">+K39+L39</f>
        <v>543599.14</v>
      </c>
      <c r="N39" s="363"/>
      <c r="O39" s="316"/>
      <c r="P39" s="240"/>
      <c r="Q39" s="240"/>
      <c r="R39" s="240"/>
      <c r="S39" s="240"/>
      <c r="T39" s="240"/>
      <c r="U39" s="240"/>
      <c r="V39" s="240"/>
      <c r="W39" s="240"/>
      <c r="X39" s="240"/>
      <c r="Y39" s="240"/>
      <c r="Z39" s="240"/>
      <c r="AA39" s="240"/>
      <c r="AB39" s="240"/>
      <c r="AC39" s="240"/>
      <c r="AD39" s="240"/>
      <c r="AE39" s="240"/>
      <c r="AF39" s="240"/>
      <c r="AG39" s="240"/>
      <c r="AH39" s="240"/>
      <c r="AI39" s="240"/>
      <c r="AJ39" s="240"/>
      <c r="AK39" s="240"/>
      <c r="AL39" s="240"/>
      <c r="AM39" s="240"/>
      <c r="AN39" s="240"/>
      <c r="AO39" s="240"/>
      <c r="AP39" s="240"/>
      <c r="AQ39" s="240"/>
      <c r="AR39" s="240"/>
      <c r="AS39" s="240"/>
      <c r="AT39" s="240"/>
      <c r="AU39" s="240"/>
      <c r="AV39" s="240"/>
      <c r="AW39" s="240"/>
      <c r="AX39" s="240"/>
      <c r="AY39" s="240"/>
      <c r="AZ39" s="240"/>
      <c r="BA39" s="240"/>
      <c r="BB39" s="240"/>
      <c r="BC39" s="240"/>
      <c r="BD39" s="240"/>
      <c r="BE39" s="240"/>
      <c r="BF39" s="240"/>
      <c r="BG39" s="240"/>
      <c r="BH39" s="240"/>
      <c r="BI39" s="240"/>
      <c r="BJ39" s="240"/>
      <c r="BK39" s="240"/>
      <c r="BL39" s="240"/>
      <c r="BM39" s="240"/>
      <c r="BN39" s="240"/>
      <c r="BO39" s="240"/>
      <c r="BP39" s="240"/>
      <c r="BQ39" s="240"/>
      <c r="BR39" s="240"/>
      <c r="BS39" s="240"/>
      <c r="BT39" s="240"/>
      <c r="BU39" s="240"/>
      <c r="BV39" s="240"/>
      <c r="BW39" s="240"/>
      <c r="BX39" s="240"/>
      <c r="BY39" s="240"/>
      <c r="BZ39" s="240"/>
      <c r="CA39" s="240"/>
      <c r="CB39" s="240"/>
      <c r="CC39" s="240"/>
    </row>
    <row r="40" spans="1:81" s="241" customFormat="1">
      <c r="A40" s="355"/>
      <c r="B40" s="187">
        <v>3476</v>
      </c>
      <c r="C40" s="507">
        <v>45889</v>
      </c>
      <c r="D40" s="389">
        <v>935707</v>
      </c>
      <c r="E40" s="389">
        <f t="shared" ref="E40:E45" si="13">D40*0.19</f>
        <v>177784.33000000002</v>
      </c>
      <c r="F40" s="509">
        <f t="shared" ref="F40:F45" si="14">D40+E40</f>
        <v>1113491.33</v>
      </c>
      <c r="G40" s="357"/>
      <c r="H40" s="335"/>
      <c r="I40" s="511"/>
      <c r="J40" s="512"/>
      <c r="K40" s="361">
        <v>181906</v>
      </c>
      <c r="L40" s="361">
        <f t="shared" si="11"/>
        <v>34562.14</v>
      </c>
      <c r="M40" s="362">
        <f t="shared" si="12"/>
        <v>216468.14</v>
      </c>
      <c r="N40" s="363"/>
      <c r="O40" s="316"/>
      <c r="P40" s="240"/>
      <c r="Q40" s="240"/>
      <c r="R40" s="240"/>
      <c r="S40" s="240"/>
      <c r="T40" s="240"/>
      <c r="U40" s="240"/>
      <c r="V40" s="240"/>
      <c r="W40" s="240"/>
      <c r="X40" s="240"/>
      <c r="Y40" s="240"/>
      <c r="Z40" s="240"/>
      <c r="AA40" s="240"/>
      <c r="AB40" s="240"/>
      <c r="AC40" s="240"/>
      <c r="AD40" s="240"/>
      <c r="AE40" s="240"/>
      <c r="AF40" s="240"/>
      <c r="AG40" s="240"/>
      <c r="AH40" s="240"/>
      <c r="AI40" s="240"/>
      <c r="AJ40" s="240"/>
      <c r="AK40" s="240"/>
      <c r="AL40" s="240"/>
      <c r="AM40" s="240"/>
      <c r="AN40" s="240"/>
      <c r="AO40" s="240"/>
      <c r="AP40" s="240"/>
      <c r="AQ40" s="240"/>
      <c r="AR40" s="240"/>
      <c r="AS40" s="240"/>
      <c r="AT40" s="240"/>
      <c r="AU40" s="240"/>
      <c r="AV40" s="240"/>
      <c r="AW40" s="240"/>
      <c r="AX40" s="240"/>
      <c r="AY40" s="240"/>
      <c r="AZ40" s="240"/>
      <c r="BA40" s="240"/>
      <c r="BB40" s="240"/>
      <c r="BC40" s="240"/>
      <c r="BD40" s="240"/>
      <c r="BE40" s="240"/>
      <c r="BF40" s="240"/>
      <c r="BG40" s="240"/>
      <c r="BH40" s="240"/>
      <c r="BI40" s="240"/>
      <c r="BJ40" s="240"/>
      <c r="BK40" s="240"/>
      <c r="BL40" s="240"/>
      <c r="BM40" s="240"/>
      <c r="BN40" s="240"/>
      <c r="BO40" s="240"/>
      <c r="BP40" s="240"/>
      <c r="BQ40" s="240"/>
      <c r="BR40" s="240"/>
      <c r="BS40" s="240"/>
      <c r="BT40" s="240"/>
      <c r="BU40" s="240"/>
      <c r="BV40" s="240"/>
      <c r="BW40" s="240"/>
      <c r="BX40" s="240"/>
      <c r="BY40" s="240"/>
      <c r="BZ40" s="240"/>
      <c r="CA40" s="240"/>
      <c r="CB40" s="240"/>
      <c r="CC40" s="240"/>
    </row>
    <row r="41" spans="1:81" s="241" customFormat="1">
      <c r="A41" s="355"/>
      <c r="B41" s="187">
        <v>3480</v>
      </c>
      <c r="C41" s="507">
        <v>45894</v>
      </c>
      <c r="D41" s="389">
        <v>462038</v>
      </c>
      <c r="E41" s="389">
        <f t="shared" si="13"/>
        <v>87787.22</v>
      </c>
      <c r="F41" s="509">
        <f t="shared" si="14"/>
        <v>549825.22</v>
      </c>
      <c r="G41" s="357"/>
      <c r="H41" s="335"/>
      <c r="I41" s="511"/>
      <c r="J41" s="512"/>
      <c r="K41" s="361">
        <v>51126</v>
      </c>
      <c r="L41" s="361">
        <f t="shared" si="11"/>
        <v>9713.94</v>
      </c>
      <c r="M41" s="362">
        <f t="shared" si="12"/>
        <v>60839.94</v>
      </c>
      <c r="N41" s="363"/>
      <c r="O41" s="316"/>
      <c r="P41" s="240"/>
      <c r="Q41" s="240"/>
      <c r="R41" s="240"/>
      <c r="S41" s="240"/>
      <c r="T41" s="240"/>
      <c r="U41" s="240"/>
      <c r="V41" s="240"/>
      <c r="W41" s="240"/>
      <c r="X41" s="240"/>
      <c r="Y41" s="240"/>
      <c r="Z41" s="240"/>
      <c r="AA41" s="240"/>
      <c r="AB41" s="240"/>
      <c r="AC41" s="240"/>
      <c r="AD41" s="240"/>
      <c r="AE41" s="240"/>
      <c r="AF41" s="240"/>
      <c r="AG41" s="240"/>
      <c r="AH41" s="240"/>
      <c r="AI41" s="240"/>
      <c r="AJ41" s="240"/>
      <c r="AK41" s="240"/>
      <c r="AL41" s="240"/>
      <c r="AM41" s="240"/>
      <c r="AN41" s="240"/>
      <c r="AO41" s="240"/>
      <c r="AP41" s="240"/>
      <c r="AQ41" s="240"/>
      <c r="AR41" s="240"/>
      <c r="AS41" s="240"/>
      <c r="AT41" s="240"/>
      <c r="AU41" s="240"/>
      <c r="AV41" s="240"/>
      <c r="AW41" s="240"/>
      <c r="AX41" s="240"/>
      <c r="AY41" s="240"/>
      <c r="AZ41" s="240"/>
      <c r="BA41" s="240"/>
      <c r="BB41" s="240"/>
      <c r="BC41" s="240"/>
      <c r="BD41" s="240"/>
      <c r="BE41" s="240"/>
      <c r="BF41" s="240"/>
      <c r="BG41" s="240"/>
      <c r="BH41" s="240"/>
      <c r="BI41" s="240"/>
      <c r="BJ41" s="240"/>
      <c r="BK41" s="240"/>
      <c r="BL41" s="240"/>
      <c r="BM41" s="240"/>
      <c r="BN41" s="240"/>
      <c r="BO41" s="240"/>
      <c r="BP41" s="240"/>
      <c r="BQ41" s="240"/>
      <c r="BR41" s="240"/>
      <c r="BS41" s="240"/>
      <c r="BT41" s="240"/>
      <c r="BU41" s="240"/>
      <c r="BV41" s="240"/>
      <c r="BW41" s="240"/>
      <c r="BX41" s="240"/>
      <c r="BY41" s="240"/>
      <c r="BZ41" s="240"/>
      <c r="CA41" s="240"/>
      <c r="CB41" s="240"/>
      <c r="CC41" s="240"/>
    </row>
    <row r="42" spans="1:81" s="241" customFormat="1">
      <c r="A42" s="355"/>
      <c r="B42" s="187">
        <v>3482</v>
      </c>
      <c r="C42" s="507">
        <v>45895</v>
      </c>
      <c r="D42" s="389">
        <v>71271</v>
      </c>
      <c r="E42" s="389">
        <f t="shared" si="13"/>
        <v>13541.49</v>
      </c>
      <c r="F42" s="509">
        <f t="shared" si="14"/>
        <v>84812.49</v>
      </c>
      <c r="G42" s="357"/>
      <c r="H42" s="335"/>
      <c r="I42" s="511"/>
      <c r="J42" s="512"/>
      <c r="K42" s="361">
        <v>121270</v>
      </c>
      <c r="L42" s="361">
        <f t="shared" si="11"/>
        <v>23041.3</v>
      </c>
      <c r="M42" s="362">
        <f t="shared" si="12"/>
        <v>144311.29999999999</v>
      </c>
      <c r="N42" s="363"/>
      <c r="O42" s="316"/>
      <c r="P42" s="240"/>
      <c r="Q42" s="240"/>
      <c r="R42" s="240"/>
      <c r="S42" s="240"/>
      <c r="T42" s="240"/>
      <c r="U42" s="240"/>
      <c r="V42" s="240"/>
      <c r="W42" s="240"/>
      <c r="X42" s="240"/>
      <c r="Y42" s="240"/>
      <c r="Z42" s="240"/>
      <c r="AA42" s="240"/>
      <c r="AB42" s="240"/>
      <c r="AC42" s="240"/>
      <c r="AD42" s="240"/>
      <c r="AE42" s="240"/>
      <c r="AF42" s="240"/>
      <c r="AG42" s="240"/>
      <c r="AH42" s="240"/>
      <c r="AI42" s="240"/>
      <c r="AJ42" s="240"/>
      <c r="AK42" s="240"/>
      <c r="AL42" s="240"/>
      <c r="AM42" s="240"/>
      <c r="AN42" s="240"/>
      <c r="AO42" s="240"/>
      <c r="AP42" s="240"/>
      <c r="AQ42" s="240"/>
      <c r="AR42" s="240"/>
      <c r="AS42" s="240"/>
      <c r="AT42" s="240"/>
      <c r="AU42" s="240"/>
      <c r="AV42" s="240"/>
      <c r="AW42" s="240"/>
      <c r="AX42" s="240"/>
      <c r="AY42" s="240"/>
      <c r="AZ42" s="240"/>
      <c r="BA42" s="240"/>
      <c r="BB42" s="240"/>
      <c r="BC42" s="240"/>
      <c r="BD42" s="240"/>
      <c r="BE42" s="240"/>
      <c r="BF42" s="240"/>
      <c r="BG42" s="240"/>
      <c r="BH42" s="240"/>
      <c r="BI42" s="240"/>
      <c r="BJ42" s="240"/>
      <c r="BK42" s="240"/>
      <c r="BL42" s="240"/>
      <c r="BM42" s="240"/>
      <c r="BN42" s="240"/>
      <c r="BO42" s="240"/>
      <c r="BP42" s="240"/>
      <c r="BQ42" s="240"/>
      <c r="BR42" s="240"/>
      <c r="BS42" s="240"/>
      <c r="BT42" s="240"/>
      <c r="BU42" s="240"/>
      <c r="BV42" s="240"/>
      <c r="BW42" s="240"/>
      <c r="BX42" s="240"/>
      <c r="BY42" s="240"/>
      <c r="BZ42" s="240"/>
      <c r="CA42" s="240"/>
      <c r="CB42" s="240"/>
      <c r="CC42" s="240"/>
    </row>
    <row r="43" spans="1:81" s="241" customFormat="1">
      <c r="A43" s="355"/>
      <c r="B43" s="187">
        <v>3483</v>
      </c>
      <c r="C43" s="507">
        <v>45895</v>
      </c>
      <c r="D43" s="389">
        <v>757216</v>
      </c>
      <c r="E43" s="389">
        <f t="shared" si="13"/>
        <v>143871.04000000001</v>
      </c>
      <c r="F43" s="509">
        <f t="shared" si="14"/>
        <v>901087.04</v>
      </c>
      <c r="G43" s="357"/>
      <c r="H43" s="335"/>
      <c r="I43" s="511"/>
      <c r="J43" s="512"/>
      <c r="K43" s="361">
        <v>935707</v>
      </c>
      <c r="L43" s="361">
        <f t="shared" si="11"/>
        <v>177784.33000000002</v>
      </c>
      <c r="M43" s="362">
        <f t="shared" si="12"/>
        <v>1113491.33</v>
      </c>
      <c r="N43" s="363"/>
      <c r="O43" s="316"/>
      <c r="P43" s="240"/>
      <c r="Q43" s="240"/>
      <c r="R43" s="240"/>
      <c r="S43" s="240"/>
      <c r="T43" s="240"/>
      <c r="U43" s="240"/>
      <c r="V43" s="240"/>
      <c r="W43" s="240"/>
      <c r="X43" s="240"/>
      <c r="Y43" s="240"/>
      <c r="Z43" s="240"/>
      <c r="AA43" s="240"/>
      <c r="AB43" s="240"/>
      <c r="AC43" s="240"/>
      <c r="AD43" s="240"/>
      <c r="AE43" s="240"/>
      <c r="AF43" s="240"/>
      <c r="AG43" s="240"/>
      <c r="AH43" s="240"/>
      <c r="AI43" s="240"/>
      <c r="AJ43" s="240"/>
      <c r="AK43" s="240"/>
      <c r="AL43" s="240"/>
      <c r="AM43" s="240"/>
      <c r="AN43" s="240"/>
      <c r="AO43" s="240"/>
      <c r="AP43" s="240"/>
      <c r="AQ43" s="240"/>
      <c r="AR43" s="240"/>
      <c r="AS43" s="240"/>
      <c r="AT43" s="240"/>
      <c r="AU43" s="240"/>
      <c r="AV43" s="240"/>
      <c r="AW43" s="240"/>
      <c r="AX43" s="240"/>
      <c r="AY43" s="240"/>
      <c r="AZ43" s="240"/>
      <c r="BA43" s="240"/>
      <c r="BB43" s="240"/>
      <c r="BC43" s="240"/>
      <c r="BD43" s="240"/>
      <c r="BE43" s="240"/>
      <c r="BF43" s="240"/>
      <c r="BG43" s="240"/>
      <c r="BH43" s="240"/>
      <c r="BI43" s="240"/>
      <c r="BJ43" s="240"/>
      <c r="BK43" s="240"/>
      <c r="BL43" s="240"/>
      <c r="BM43" s="240"/>
      <c r="BN43" s="240"/>
      <c r="BO43" s="240"/>
      <c r="BP43" s="240"/>
      <c r="BQ43" s="240"/>
      <c r="BR43" s="240"/>
      <c r="BS43" s="240"/>
      <c r="BT43" s="240"/>
      <c r="BU43" s="240"/>
      <c r="BV43" s="240"/>
      <c r="BW43" s="240"/>
      <c r="BX43" s="240"/>
      <c r="BY43" s="240"/>
      <c r="BZ43" s="240"/>
      <c r="CA43" s="240"/>
      <c r="CB43" s="240"/>
      <c r="CC43" s="240"/>
    </row>
    <row r="44" spans="1:81" s="241" customFormat="1">
      <c r="A44" s="355"/>
      <c r="B44" s="187">
        <v>3486</v>
      </c>
      <c r="C44" s="507">
        <v>45887</v>
      </c>
      <c r="D44" s="389">
        <v>58889</v>
      </c>
      <c r="E44" s="389">
        <f t="shared" si="13"/>
        <v>11188.91</v>
      </c>
      <c r="F44" s="509">
        <f t="shared" si="14"/>
        <v>70077.91</v>
      </c>
      <c r="G44" s="357"/>
      <c r="H44" s="335"/>
      <c r="I44" s="511"/>
      <c r="J44" s="512"/>
      <c r="K44" s="361">
        <v>201227</v>
      </c>
      <c r="L44" s="361">
        <f t="shared" si="11"/>
        <v>38233.129999999997</v>
      </c>
      <c r="M44" s="362">
        <f t="shared" si="12"/>
        <v>239460.13</v>
      </c>
      <c r="N44" s="363"/>
      <c r="O44" s="316"/>
      <c r="P44" s="240"/>
      <c r="Q44" s="240"/>
      <c r="R44" s="240"/>
      <c r="S44" s="240"/>
      <c r="T44" s="240"/>
      <c r="U44" s="240"/>
      <c r="V44" s="240"/>
      <c r="W44" s="240"/>
      <c r="X44" s="240"/>
      <c r="Y44" s="240"/>
      <c r="Z44" s="240"/>
      <c r="AA44" s="240"/>
      <c r="AB44" s="240"/>
      <c r="AC44" s="240"/>
      <c r="AD44" s="240"/>
      <c r="AE44" s="240"/>
      <c r="AF44" s="240"/>
      <c r="AG44" s="240"/>
      <c r="AH44" s="240"/>
      <c r="AI44" s="240"/>
      <c r="AJ44" s="240"/>
      <c r="AK44" s="240"/>
      <c r="AL44" s="240"/>
      <c r="AM44" s="240"/>
      <c r="AN44" s="240"/>
      <c r="AO44" s="240"/>
      <c r="AP44" s="240"/>
      <c r="AQ44" s="240"/>
      <c r="AR44" s="240"/>
      <c r="AS44" s="240"/>
      <c r="AT44" s="240"/>
      <c r="AU44" s="240"/>
      <c r="AV44" s="240"/>
      <c r="AW44" s="240"/>
      <c r="AX44" s="240"/>
      <c r="AY44" s="240"/>
      <c r="AZ44" s="240"/>
      <c r="BA44" s="240"/>
      <c r="BB44" s="240"/>
      <c r="BC44" s="240"/>
      <c r="BD44" s="240"/>
      <c r="BE44" s="240"/>
      <c r="BF44" s="240"/>
      <c r="BG44" s="240"/>
      <c r="BH44" s="240"/>
      <c r="BI44" s="240"/>
      <c r="BJ44" s="240"/>
      <c r="BK44" s="240"/>
      <c r="BL44" s="240"/>
      <c r="BM44" s="240"/>
      <c r="BN44" s="240"/>
      <c r="BO44" s="240"/>
      <c r="BP44" s="240"/>
      <c r="BQ44" s="240"/>
      <c r="BR44" s="240"/>
      <c r="BS44" s="240"/>
      <c r="BT44" s="240"/>
      <c r="BU44" s="240"/>
      <c r="BV44" s="240"/>
      <c r="BW44" s="240"/>
      <c r="BX44" s="240"/>
      <c r="BY44" s="240"/>
      <c r="BZ44" s="240"/>
      <c r="CA44" s="240"/>
      <c r="CB44" s="240"/>
      <c r="CC44" s="240"/>
    </row>
    <row r="45" spans="1:81" s="241" customFormat="1">
      <c r="A45" s="355"/>
      <c r="B45" s="187">
        <v>3487</v>
      </c>
      <c r="C45" s="507">
        <v>45896</v>
      </c>
      <c r="D45" s="389">
        <v>87400</v>
      </c>
      <c r="E45" s="389">
        <f t="shared" si="13"/>
        <v>16606</v>
      </c>
      <c r="F45" s="509">
        <f t="shared" si="14"/>
        <v>104006</v>
      </c>
      <c r="G45" s="357"/>
      <c r="H45" s="335"/>
      <c r="I45" s="511"/>
      <c r="J45" s="512"/>
      <c r="K45" s="361">
        <v>63682</v>
      </c>
      <c r="L45" s="361">
        <f t="shared" si="11"/>
        <v>12099.58</v>
      </c>
      <c r="M45" s="362">
        <f t="shared" si="12"/>
        <v>75781.58</v>
      </c>
      <c r="N45" s="363"/>
      <c r="O45" s="316"/>
      <c r="P45" s="240"/>
      <c r="Q45" s="240"/>
      <c r="R45" s="240"/>
      <c r="S45" s="240"/>
      <c r="T45" s="240"/>
      <c r="U45" s="240"/>
      <c r="V45" s="240"/>
      <c r="W45" s="240"/>
      <c r="X45" s="240"/>
      <c r="Y45" s="240"/>
      <c r="Z45" s="240"/>
      <c r="AA45" s="240"/>
      <c r="AB45" s="240"/>
      <c r="AC45" s="240"/>
      <c r="AD45" s="240"/>
      <c r="AE45" s="240"/>
      <c r="AF45" s="240"/>
      <c r="AG45" s="240"/>
      <c r="AH45" s="240"/>
      <c r="AI45" s="240"/>
      <c r="AJ45" s="240"/>
      <c r="AK45" s="240"/>
      <c r="AL45" s="240"/>
      <c r="AM45" s="240"/>
      <c r="AN45" s="240"/>
      <c r="AO45" s="240"/>
      <c r="AP45" s="240"/>
      <c r="AQ45" s="240"/>
      <c r="AR45" s="240"/>
      <c r="AS45" s="240"/>
      <c r="AT45" s="240"/>
      <c r="AU45" s="240"/>
      <c r="AV45" s="240"/>
      <c r="AW45" s="240"/>
      <c r="AX45" s="240"/>
      <c r="AY45" s="240"/>
      <c r="AZ45" s="240"/>
      <c r="BA45" s="240"/>
      <c r="BB45" s="240"/>
      <c r="BC45" s="240"/>
      <c r="BD45" s="240"/>
      <c r="BE45" s="240"/>
      <c r="BF45" s="240"/>
      <c r="BG45" s="240"/>
      <c r="BH45" s="240"/>
      <c r="BI45" s="240"/>
      <c r="BJ45" s="240"/>
      <c r="BK45" s="240"/>
      <c r="BL45" s="240"/>
      <c r="BM45" s="240"/>
      <c r="BN45" s="240"/>
      <c r="BO45" s="240"/>
      <c r="BP45" s="240"/>
      <c r="BQ45" s="240"/>
      <c r="BR45" s="240"/>
      <c r="BS45" s="240"/>
      <c r="BT45" s="240"/>
      <c r="BU45" s="240"/>
      <c r="BV45" s="240"/>
      <c r="BW45" s="240"/>
      <c r="BX45" s="240"/>
      <c r="BY45" s="240"/>
      <c r="BZ45" s="240"/>
      <c r="CA45" s="240"/>
      <c r="CB45" s="240"/>
      <c r="CC45" s="240"/>
    </row>
    <row r="46" spans="1:81" s="241" customFormat="1">
      <c r="A46" s="355"/>
      <c r="B46" s="187">
        <v>3515</v>
      </c>
      <c r="C46" s="507">
        <v>45910</v>
      </c>
      <c r="D46" s="389">
        <v>47144</v>
      </c>
      <c r="E46" s="389">
        <f t="shared" ref="E46:E50" si="15">D46*0.19</f>
        <v>8957.36</v>
      </c>
      <c r="F46" s="509">
        <f t="shared" ref="F46:F50" si="16">D46+E46</f>
        <v>56101.36</v>
      </c>
      <c r="G46" s="510"/>
      <c r="H46" s="335"/>
      <c r="I46" s="511"/>
      <c r="J46" s="512"/>
      <c r="K46" s="361">
        <v>-63682</v>
      </c>
      <c r="L46" s="361">
        <f t="shared" ref="L46:L47" si="17">+K46*0.19</f>
        <v>-12099.58</v>
      </c>
      <c r="M46" s="362">
        <f t="shared" ref="M46:M47" si="18">+K46+L46</f>
        <v>-75781.58</v>
      </c>
      <c r="N46" s="363"/>
      <c r="O46" s="316"/>
      <c r="P46" s="240"/>
      <c r="Q46" s="240"/>
      <c r="R46" s="240"/>
      <c r="S46" s="240"/>
      <c r="T46" s="240"/>
      <c r="U46" s="240"/>
      <c r="V46" s="240"/>
      <c r="W46" s="240"/>
      <c r="X46" s="240"/>
      <c r="Y46" s="240"/>
      <c r="Z46" s="240"/>
      <c r="AA46" s="240"/>
      <c r="AB46" s="240"/>
      <c r="AC46" s="240"/>
      <c r="AD46" s="240"/>
      <c r="AE46" s="240"/>
      <c r="AF46" s="240"/>
      <c r="AG46" s="240"/>
      <c r="AH46" s="240"/>
      <c r="AI46" s="240"/>
      <c r="AJ46" s="240"/>
      <c r="AK46" s="240"/>
      <c r="AL46" s="240"/>
      <c r="AM46" s="240"/>
      <c r="AN46" s="240"/>
      <c r="AO46" s="240"/>
      <c r="AP46" s="240"/>
      <c r="AQ46" s="240"/>
      <c r="AR46" s="240"/>
      <c r="AS46" s="240"/>
      <c r="AT46" s="240"/>
      <c r="AU46" s="240"/>
      <c r="AV46" s="240"/>
      <c r="AW46" s="240"/>
      <c r="AX46" s="240"/>
      <c r="AY46" s="240"/>
      <c r="AZ46" s="240"/>
      <c r="BA46" s="240"/>
      <c r="BB46" s="240"/>
      <c r="BC46" s="240"/>
      <c r="BD46" s="240"/>
      <c r="BE46" s="240"/>
      <c r="BF46" s="240"/>
      <c r="BG46" s="240"/>
      <c r="BH46" s="240"/>
      <c r="BI46" s="240"/>
      <c r="BJ46" s="240"/>
      <c r="BK46" s="240"/>
      <c r="BL46" s="240"/>
      <c r="BM46" s="240"/>
      <c r="BN46" s="240"/>
      <c r="BO46" s="240"/>
      <c r="BP46" s="240"/>
      <c r="BQ46" s="240"/>
      <c r="BR46" s="240"/>
      <c r="BS46" s="240"/>
      <c r="BT46" s="240"/>
      <c r="BU46" s="240"/>
      <c r="BV46" s="240"/>
      <c r="BW46" s="240"/>
      <c r="BX46" s="240"/>
      <c r="BY46" s="240"/>
      <c r="BZ46" s="240"/>
      <c r="CA46" s="240"/>
      <c r="CB46" s="240"/>
      <c r="CC46" s="240"/>
    </row>
    <row r="47" spans="1:81" s="241" customFormat="1">
      <c r="A47" s="355"/>
      <c r="B47" s="187">
        <v>3516</v>
      </c>
      <c r="C47" s="507">
        <v>45910</v>
      </c>
      <c r="D47" s="389">
        <v>124798</v>
      </c>
      <c r="E47" s="389">
        <f t="shared" si="15"/>
        <v>23711.62</v>
      </c>
      <c r="F47" s="509">
        <f t="shared" si="16"/>
        <v>148509.62</v>
      </c>
      <c r="G47" s="510"/>
      <c r="H47" s="335"/>
      <c r="I47" s="511"/>
      <c r="J47" s="512"/>
      <c r="K47" s="361"/>
      <c r="L47" s="361">
        <f t="shared" si="17"/>
        <v>0</v>
      </c>
      <c r="M47" s="362">
        <f t="shared" si="18"/>
        <v>0</v>
      </c>
      <c r="N47" s="363"/>
      <c r="O47" s="316"/>
      <c r="P47" s="240"/>
      <c r="Q47" s="240"/>
      <c r="R47" s="240"/>
      <c r="S47" s="240"/>
      <c r="T47" s="240"/>
      <c r="U47" s="240"/>
      <c r="V47" s="240"/>
      <c r="W47" s="240"/>
      <c r="X47" s="240"/>
      <c r="Y47" s="240"/>
      <c r="Z47" s="240"/>
      <c r="AA47" s="240"/>
      <c r="AB47" s="240"/>
      <c r="AC47" s="240"/>
      <c r="AD47" s="240"/>
      <c r="AE47" s="240"/>
      <c r="AF47" s="240"/>
      <c r="AG47" s="240"/>
      <c r="AH47" s="240"/>
      <c r="AI47" s="240"/>
      <c r="AJ47" s="240"/>
      <c r="AK47" s="240"/>
      <c r="AL47" s="240"/>
      <c r="AM47" s="240"/>
      <c r="AN47" s="240"/>
      <c r="AO47" s="240"/>
      <c r="AP47" s="240"/>
      <c r="AQ47" s="240"/>
      <c r="AR47" s="240"/>
      <c r="AS47" s="240"/>
      <c r="AT47" s="240"/>
      <c r="AU47" s="240"/>
      <c r="AV47" s="240"/>
      <c r="AW47" s="240"/>
      <c r="AX47" s="240"/>
      <c r="AY47" s="240"/>
      <c r="AZ47" s="240"/>
      <c r="BA47" s="240"/>
      <c r="BB47" s="240"/>
      <c r="BC47" s="240"/>
      <c r="BD47" s="240"/>
      <c r="BE47" s="240"/>
      <c r="BF47" s="240"/>
      <c r="BG47" s="240"/>
      <c r="BH47" s="240"/>
      <c r="BI47" s="240"/>
      <c r="BJ47" s="240"/>
      <c r="BK47" s="240"/>
      <c r="BL47" s="240"/>
      <c r="BM47" s="240"/>
      <c r="BN47" s="240"/>
      <c r="BO47" s="240"/>
      <c r="BP47" s="240"/>
      <c r="BQ47" s="240"/>
      <c r="BR47" s="240"/>
      <c r="BS47" s="240"/>
      <c r="BT47" s="240"/>
      <c r="BU47" s="240"/>
      <c r="BV47" s="240"/>
      <c r="BW47" s="240"/>
      <c r="BX47" s="240"/>
      <c r="BY47" s="240"/>
      <c r="BZ47" s="240"/>
      <c r="CA47" s="240"/>
      <c r="CB47" s="240"/>
      <c r="CC47" s="240"/>
    </row>
    <row r="48" spans="1:81" s="241" customFormat="1">
      <c r="A48" s="355"/>
      <c r="B48" s="187">
        <v>3517</v>
      </c>
      <c r="C48" s="507">
        <v>45910</v>
      </c>
      <c r="D48" s="389">
        <v>94424</v>
      </c>
      <c r="E48" s="389">
        <f t="shared" si="15"/>
        <v>17940.560000000001</v>
      </c>
      <c r="F48" s="509">
        <f t="shared" si="16"/>
        <v>112364.56</v>
      </c>
      <c r="G48" s="510"/>
      <c r="H48" s="335"/>
      <c r="I48" s="511"/>
      <c r="J48" s="512"/>
      <c r="K48" s="411"/>
      <c r="L48" s="361">
        <f t="shared" ref="L48:L51" si="19">+K48*0.19</f>
        <v>0</v>
      </c>
      <c r="M48" s="362">
        <f t="shared" ref="M48:M51" si="20">+K48+L48</f>
        <v>0</v>
      </c>
      <c r="N48" s="363"/>
      <c r="O48" s="316"/>
      <c r="P48" s="240"/>
      <c r="Q48" s="240"/>
      <c r="R48" s="240"/>
      <c r="S48" s="240"/>
      <c r="T48" s="240"/>
      <c r="U48" s="240"/>
      <c r="V48" s="240"/>
      <c r="W48" s="240"/>
      <c r="X48" s="240"/>
      <c r="Y48" s="240"/>
      <c r="Z48" s="240"/>
      <c r="AA48" s="240"/>
      <c r="AB48" s="240"/>
      <c r="AC48" s="240"/>
      <c r="AD48" s="240"/>
      <c r="AE48" s="240"/>
      <c r="AF48" s="240"/>
      <c r="AG48" s="240"/>
      <c r="AH48" s="240"/>
      <c r="AI48" s="240"/>
      <c r="AJ48" s="240"/>
      <c r="AK48" s="240"/>
      <c r="AL48" s="240"/>
      <c r="AM48" s="240"/>
      <c r="AN48" s="240"/>
      <c r="AO48" s="240"/>
      <c r="AP48" s="240"/>
      <c r="AQ48" s="240"/>
      <c r="AR48" s="240"/>
      <c r="AS48" s="240"/>
      <c r="AT48" s="240"/>
      <c r="AU48" s="240"/>
      <c r="AV48" s="240"/>
      <c r="AW48" s="240"/>
      <c r="AX48" s="240"/>
      <c r="AY48" s="240"/>
      <c r="AZ48" s="240"/>
      <c r="BA48" s="240"/>
      <c r="BB48" s="240"/>
      <c r="BC48" s="240"/>
      <c r="BD48" s="240"/>
      <c r="BE48" s="240"/>
      <c r="BF48" s="240"/>
      <c r="BG48" s="240"/>
      <c r="BH48" s="240"/>
      <c r="BI48" s="240"/>
      <c r="BJ48" s="240"/>
      <c r="BK48" s="240"/>
      <c r="BL48" s="240"/>
      <c r="BM48" s="240"/>
      <c r="BN48" s="240"/>
      <c r="BO48" s="240"/>
      <c r="BP48" s="240"/>
      <c r="BQ48" s="240"/>
      <c r="BR48" s="240"/>
      <c r="BS48" s="240"/>
      <c r="BT48" s="240"/>
      <c r="BU48" s="240"/>
      <c r="BV48" s="240"/>
      <c r="BW48" s="240"/>
      <c r="BX48" s="240"/>
      <c r="BY48" s="240"/>
      <c r="BZ48" s="240"/>
      <c r="CA48" s="240"/>
      <c r="CB48" s="240"/>
      <c r="CC48" s="240"/>
    </row>
    <row r="49" spans="1:82" s="241" customFormat="1">
      <c r="A49" s="355"/>
      <c r="B49" s="187">
        <v>3521</v>
      </c>
      <c r="C49" s="507">
        <v>45915</v>
      </c>
      <c r="D49" s="389">
        <v>179122</v>
      </c>
      <c r="E49" s="389">
        <f t="shared" si="15"/>
        <v>34033.18</v>
      </c>
      <c r="F49" s="509">
        <f t="shared" si="16"/>
        <v>213155.18</v>
      </c>
      <c r="G49" s="510"/>
      <c r="H49" s="335"/>
      <c r="I49" s="511"/>
      <c r="J49" s="512"/>
      <c r="K49" s="586"/>
      <c r="L49" s="361">
        <f t="shared" si="19"/>
        <v>0</v>
      </c>
      <c r="M49" s="362">
        <f t="shared" si="20"/>
        <v>0</v>
      </c>
      <c r="N49" s="363"/>
      <c r="O49" s="316"/>
      <c r="P49" s="240"/>
      <c r="Q49" s="240"/>
      <c r="R49" s="240"/>
      <c r="S49" s="240"/>
      <c r="T49" s="240"/>
      <c r="U49" s="240"/>
      <c r="V49" s="240"/>
      <c r="W49" s="240"/>
      <c r="X49" s="240"/>
      <c r="Y49" s="240"/>
      <c r="Z49" s="240"/>
      <c r="AA49" s="240"/>
      <c r="AB49" s="240"/>
      <c r="AC49" s="240"/>
      <c r="AD49" s="240"/>
      <c r="AE49" s="240"/>
      <c r="AF49" s="240"/>
      <c r="AG49" s="240"/>
      <c r="AH49" s="240"/>
      <c r="AI49" s="240"/>
      <c r="AJ49" s="240"/>
      <c r="AK49" s="240"/>
      <c r="AL49" s="240"/>
      <c r="AM49" s="240"/>
      <c r="AN49" s="240"/>
      <c r="AO49" s="240"/>
      <c r="AP49" s="240"/>
      <c r="AQ49" s="240"/>
      <c r="AR49" s="240"/>
      <c r="AS49" s="240"/>
      <c r="AT49" s="240"/>
      <c r="AU49" s="240"/>
      <c r="AV49" s="240"/>
      <c r="AW49" s="240"/>
      <c r="AX49" s="240"/>
      <c r="AY49" s="240"/>
      <c r="AZ49" s="240"/>
      <c r="BA49" s="240"/>
      <c r="BB49" s="240"/>
      <c r="BC49" s="240"/>
      <c r="BD49" s="240"/>
      <c r="BE49" s="240"/>
      <c r="BF49" s="240"/>
      <c r="BG49" s="240"/>
      <c r="BH49" s="240"/>
      <c r="BI49" s="240"/>
      <c r="BJ49" s="240"/>
      <c r="BK49" s="240"/>
      <c r="BL49" s="240"/>
      <c r="BM49" s="240"/>
      <c r="BN49" s="240"/>
      <c r="BO49" s="240"/>
      <c r="BP49" s="240"/>
      <c r="BQ49" s="240"/>
      <c r="BR49" s="240"/>
      <c r="BS49" s="240"/>
      <c r="BT49" s="240"/>
      <c r="BU49" s="240"/>
      <c r="BV49" s="240"/>
      <c r="BW49" s="240"/>
      <c r="BX49" s="240"/>
      <c r="BY49" s="240"/>
      <c r="BZ49" s="240"/>
      <c r="CA49" s="240"/>
      <c r="CB49" s="240"/>
      <c r="CC49" s="240"/>
    </row>
    <row r="50" spans="1:82" s="241" customFormat="1">
      <c r="A50" s="355"/>
      <c r="B50" s="187">
        <v>3524</v>
      </c>
      <c r="C50" s="507">
        <v>45922</v>
      </c>
      <c r="D50" s="508">
        <v>186984</v>
      </c>
      <c r="E50" s="389">
        <f t="shared" si="15"/>
        <v>35526.959999999999</v>
      </c>
      <c r="F50" s="509">
        <f t="shared" si="16"/>
        <v>222510.96</v>
      </c>
      <c r="G50" s="510"/>
      <c r="H50" s="335"/>
      <c r="I50" s="511"/>
      <c r="J50" s="512"/>
      <c r="K50" s="586"/>
      <c r="L50" s="361">
        <f t="shared" si="19"/>
        <v>0</v>
      </c>
      <c r="M50" s="362">
        <f t="shared" si="20"/>
        <v>0</v>
      </c>
      <c r="N50" s="363"/>
      <c r="O50" s="316"/>
      <c r="P50" s="240"/>
      <c r="Q50" s="240"/>
      <c r="R50" s="240"/>
      <c r="S50" s="240"/>
      <c r="T50" s="240"/>
      <c r="U50" s="240"/>
      <c r="V50" s="240"/>
      <c r="W50" s="240"/>
      <c r="X50" s="240"/>
      <c r="Y50" s="240"/>
      <c r="Z50" s="240"/>
      <c r="AA50" s="240"/>
      <c r="AB50" s="240"/>
      <c r="AC50" s="240"/>
      <c r="AD50" s="240"/>
      <c r="AE50" s="240"/>
      <c r="AF50" s="240"/>
      <c r="AG50" s="240"/>
      <c r="AH50" s="240"/>
      <c r="AI50" s="240"/>
      <c r="AJ50" s="240"/>
      <c r="AK50" s="240"/>
      <c r="AL50" s="240"/>
      <c r="AM50" s="240"/>
      <c r="AN50" s="240"/>
      <c r="AO50" s="240"/>
      <c r="AP50" s="240"/>
      <c r="AQ50" s="240"/>
      <c r="AR50" s="240"/>
      <c r="AS50" s="240"/>
      <c r="AT50" s="240"/>
      <c r="AU50" s="240"/>
      <c r="AV50" s="240"/>
      <c r="AW50" s="240"/>
      <c r="AX50" s="240"/>
      <c r="AY50" s="240"/>
      <c r="AZ50" s="240"/>
      <c r="BA50" s="240"/>
      <c r="BB50" s="240"/>
      <c r="BC50" s="240"/>
      <c r="BD50" s="240"/>
      <c r="BE50" s="240"/>
      <c r="BF50" s="240"/>
      <c r="BG50" s="240"/>
      <c r="BH50" s="240"/>
      <c r="BI50" s="240"/>
      <c r="BJ50" s="240"/>
      <c r="BK50" s="240"/>
      <c r="BL50" s="240"/>
      <c r="BM50" s="240"/>
      <c r="BN50" s="240"/>
      <c r="BO50" s="240"/>
      <c r="BP50" s="240"/>
      <c r="BQ50" s="240"/>
      <c r="BR50" s="240"/>
      <c r="BS50" s="240"/>
      <c r="BT50" s="240"/>
      <c r="BU50" s="240"/>
      <c r="BV50" s="240"/>
      <c r="BW50" s="240"/>
      <c r="BX50" s="240"/>
      <c r="BY50" s="240"/>
      <c r="BZ50" s="240"/>
      <c r="CA50" s="240"/>
      <c r="CB50" s="240"/>
      <c r="CC50" s="240"/>
    </row>
    <row r="51" spans="1:82" s="241" customFormat="1">
      <c r="A51" s="355"/>
      <c r="B51" s="187">
        <v>3531</v>
      </c>
      <c r="C51" s="507">
        <v>45923</v>
      </c>
      <c r="D51" s="508">
        <v>39556</v>
      </c>
      <c r="E51" s="389">
        <f t="shared" ref="E51" si="21">D51*0.19</f>
        <v>7515.64</v>
      </c>
      <c r="F51" s="509">
        <f t="shared" ref="F51" si="22">D51+E51</f>
        <v>47071.64</v>
      </c>
      <c r="G51" s="510"/>
      <c r="H51" s="335"/>
      <c r="I51" s="511"/>
      <c r="J51" s="512"/>
      <c r="K51" s="586"/>
      <c r="L51" s="361">
        <f t="shared" si="19"/>
        <v>0</v>
      </c>
      <c r="M51" s="362">
        <f t="shared" si="20"/>
        <v>0</v>
      </c>
      <c r="N51" s="363"/>
      <c r="O51" s="316"/>
      <c r="P51" s="240"/>
      <c r="Q51" s="240"/>
      <c r="R51" s="240"/>
      <c r="S51" s="240"/>
      <c r="T51" s="240"/>
      <c r="U51" s="240"/>
      <c r="V51" s="240"/>
      <c r="W51" s="240"/>
      <c r="X51" s="240"/>
      <c r="Y51" s="240"/>
      <c r="Z51" s="240"/>
      <c r="AA51" s="240"/>
      <c r="AB51" s="240"/>
      <c r="AC51" s="240"/>
      <c r="AD51" s="240"/>
      <c r="AE51" s="240"/>
      <c r="AF51" s="240"/>
      <c r="AG51" s="240"/>
      <c r="AH51" s="240"/>
      <c r="AI51" s="240"/>
      <c r="AJ51" s="240"/>
      <c r="AK51" s="240"/>
      <c r="AL51" s="240"/>
      <c r="AM51" s="240"/>
      <c r="AN51" s="240"/>
      <c r="AO51" s="240"/>
      <c r="AP51" s="240"/>
      <c r="AQ51" s="240"/>
      <c r="AR51" s="240"/>
      <c r="AS51" s="240"/>
      <c r="AT51" s="240"/>
      <c r="AU51" s="240"/>
      <c r="AV51" s="240"/>
      <c r="AW51" s="240"/>
      <c r="AX51" s="240"/>
      <c r="AY51" s="240"/>
      <c r="AZ51" s="240"/>
      <c r="BA51" s="240"/>
      <c r="BB51" s="240"/>
      <c r="BC51" s="240"/>
      <c r="BD51" s="240"/>
      <c r="BE51" s="240"/>
      <c r="BF51" s="240"/>
      <c r="BG51" s="240"/>
      <c r="BH51" s="240"/>
      <c r="BI51" s="240"/>
      <c r="BJ51" s="240"/>
      <c r="BK51" s="240"/>
      <c r="BL51" s="240"/>
      <c r="BM51" s="240"/>
      <c r="BN51" s="240"/>
      <c r="BO51" s="240"/>
      <c r="BP51" s="240"/>
      <c r="BQ51" s="240"/>
      <c r="BR51" s="240"/>
      <c r="BS51" s="240"/>
      <c r="BT51" s="240"/>
      <c r="BU51" s="240"/>
      <c r="BV51" s="240"/>
      <c r="BW51" s="240"/>
      <c r="BX51" s="240"/>
      <c r="BY51" s="240"/>
      <c r="BZ51" s="240"/>
      <c r="CA51" s="240"/>
      <c r="CB51" s="240"/>
      <c r="CC51" s="240"/>
    </row>
    <row r="52" spans="1:82" s="241" customFormat="1">
      <c r="A52" s="355"/>
      <c r="B52" s="187"/>
      <c r="C52" s="507"/>
      <c r="D52" s="508"/>
      <c r="E52" s="389"/>
      <c r="F52" s="509"/>
      <c r="G52" s="510"/>
      <c r="H52" s="335"/>
      <c r="I52" s="511"/>
      <c r="J52" s="512"/>
      <c r="K52" s="586"/>
      <c r="L52" s="587"/>
      <c r="M52" s="588"/>
      <c r="N52" s="363"/>
      <c r="O52" s="316"/>
      <c r="P52" s="240"/>
      <c r="Q52" s="240"/>
      <c r="R52" s="240"/>
      <c r="S52" s="240"/>
      <c r="T52" s="240"/>
      <c r="U52" s="240"/>
      <c r="V52" s="240"/>
      <c r="W52" s="240"/>
      <c r="X52" s="240"/>
      <c r="Y52" s="240"/>
      <c r="Z52" s="240"/>
      <c r="AA52" s="240"/>
      <c r="AB52" s="240"/>
      <c r="AC52" s="240"/>
      <c r="AD52" s="240"/>
      <c r="AE52" s="240"/>
      <c r="AF52" s="240"/>
      <c r="AG52" s="240"/>
      <c r="AH52" s="240"/>
      <c r="AI52" s="240"/>
      <c r="AJ52" s="240"/>
      <c r="AK52" s="240"/>
      <c r="AL52" s="240"/>
      <c r="AM52" s="240"/>
      <c r="AN52" s="240"/>
      <c r="AO52" s="240"/>
      <c r="AP52" s="240"/>
      <c r="AQ52" s="240"/>
      <c r="AR52" s="240"/>
      <c r="AS52" s="240"/>
      <c r="AT52" s="240"/>
      <c r="AU52" s="240"/>
      <c r="AV52" s="240"/>
      <c r="AW52" s="240"/>
      <c r="AX52" s="240"/>
      <c r="AY52" s="240"/>
      <c r="AZ52" s="240"/>
      <c r="BA52" s="240"/>
      <c r="BB52" s="240"/>
      <c r="BC52" s="240"/>
      <c r="BD52" s="240"/>
      <c r="BE52" s="240"/>
      <c r="BF52" s="240"/>
      <c r="BG52" s="240"/>
      <c r="BH52" s="240"/>
      <c r="BI52" s="240"/>
      <c r="BJ52" s="240"/>
      <c r="BK52" s="240"/>
      <c r="BL52" s="240"/>
      <c r="BM52" s="240"/>
      <c r="BN52" s="240"/>
      <c r="BO52" s="240"/>
      <c r="BP52" s="240"/>
      <c r="BQ52" s="240"/>
      <c r="BR52" s="240"/>
      <c r="BS52" s="240"/>
      <c r="BT52" s="240"/>
      <c r="BU52" s="240"/>
      <c r="BV52" s="240"/>
      <c r="BW52" s="240"/>
      <c r="BX52" s="240"/>
      <c r="BY52" s="240"/>
      <c r="BZ52" s="240"/>
      <c r="CA52" s="240"/>
      <c r="CB52" s="240"/>
      <c r="CC52" s="240"/>
    </row>
    <row r="53" spans="1:82" s="241" customFormat="1">
      <c r="A53" s="355"/>
      <c r="B53" s="187"/>
      <c r="C53" s="507"/>
      <c r="D53" s="508"/>
      <c r="E53" s="389"/>
      <c r="F53" s="509"/>
      <c r="G53" s="510"/>
      <c r="H53" s="335"/>
      <c r="I53" s="511"/>
      <c r="J53" s="512"/>
      <c r="K53" s="586"/>
      <c r="L53" s="587"/>
      <c r="M53" s="588"/>
      <c r="N53" s="363"/>
      <c r="O53" s="316"/>
      <c r="P53" s="240"/>
      <c r="Q53" s="240"/>
      <c r="R53" s="240"/>
      <c r="S53" s="240"/>
      <c r="T53" s="240"/>
      <c r="U53" s="240"/>
      <c r="V53" s="240"/>
      <c r="W53" s="240"/>
      <c r="X53" s="240"/>
      <c r="Y53" s="240"/>
      <c r="Z53" s="240"/>
      <c r="AA53" s="240"/>
      <c r="AB53" s="240"/>
      <c r="AC53" s="240"/>
      <c r="AD53" s="240"/>
      <c r="AE53" s="240"/>
      <c r="AF53" s="240"/>
      <c r="AG53" s="240"/>
      <c r="AH53" s="240"/>
      <c r="AI53" s="240"/>
      <c r="AJ53" s="240"/>
      <c r="AK53" s="240"/>
      <c r="AL53" s="240"/>
      <c r="AM53" s="240"/>
      <c r="AN53" s="240"/>
      <c r="AO53" s="240"/>
      <c r="AP53" s="240"/>
      <c r="AQ53" s="240"/>
      <c r="AR53" s="240"/>
      <c r="AS53" s="240"/>
      <c r="AT53" s="240"/>
      <c r="AU53" s="240"/>
      <c r="AV53" s="240"/>
      <c r="AW53" s="240"/>
      <c r="AX53" s="240"/>
      <c r="AY53" s="240"/>
      <c r="AZ53" s="240"/>
      <c r="BA53" s="240"/>
      <c r="BB53" s="240"/>
      <c r="BC53" s="240"/>
      <c r="BD53" s="240"/>
      <c r="BE53" s="240"/>
      <c r="BF53" s="240"/>
      <c r="BG53" s="240"/>
      <c r="BH53" s="240"/>
      <c r="BI53" s="240"/>
      <c r="BJ53" s="240"/>
      <c r="BK53" s="240"/>
      <c r="BL53" s="240"/>
      <c r="BM53" s="240"/>
      <c r="BN53" s="240"/>
      <c r="BO53" s="240"/>
      <c r="BP53" s="240"/>
      <c r="BQ53" s="240"/>
      <c r="BR53" s="240"/>
      <c r="BS53" s="240"/>
      <c r="BT53" s="240"/>
      <c r="BU53" s="240"/>
      <c r="BV53" s="240"/>
      <c r="BW53" s="240"/>
      <c r="BX53" s="240"/>
      <c r="BY53" s="240"/>
      <c r="BZ53" s="240"/>
      <c r="CA53" s="240"/>
      <c r="CB53" s="240"/>
      <c r="CC53" s="240"/>
    </row>
    <row r="54" spans="1:82" s="241" customFormat="1">
      <c r="A54" s="355"/>
      <c r="B54" s="187"/>
      <c r="C54" s="507"/>
      <c r="D54" s="508"/>
      <c r="E54" s="389"/>
      <c r="F54" s="509"/>
      <c r="G54" s="510"/>
      <c r="H54" s="335"/>
      <c r="I54" s="511"/>
      <c r="J54" s="512"/>
      <c r="K54" s="586"/>
      <c r="L54" s="587"/>
      <c r="M54" s="588"/>
      <c r="N54" s="363"/>
      <c r="O54" s="316"/>
      <c r="P54" s="240"/>
      <c r="Q54" s="240"/>
      <c r="R54" s="240"/>
      <c r="S54" s="240"/>
      <c r="T54" s="240"/>
      <c r="U54" s="240"/>
      <c r="V54" s="240"/>
      <c r="W54" s="240"/>
      <c r="X54" s="240"/>
      <c r="Y54" s="240"/>
      <c r="Z54" s="240"/>
      <c r="AA54" s="240"/>
      <c r="AB54" s="240"/>
      <c r="AC54" s="240"/>
      <c r="AD54" s="240"/>
      <c r="AE54" s="240"/>
      <c r="AF54" s="240"/>
      <c r="AG54" s="240"/>
      <c r="AH54" s="240"/>
      <c r="AI54" s="240"/>
      <c r="AJ54" s="240"/>
      <c r="AK54" s="240"/>
      <c r="AL54" s="240"/>
      <c r="AM54" s="240"/>
      <c r="AN54" s="240"/>
      <c r="AO54" s="240"/>
      <c r="AP54" s="240"/>
      <c r="AQ54" s="240"/>
      <c r="AR54" s="240"/>
      <c r="AS54" s="240"/>
      <c r="AT54" s="240"/>
      <c r="AU54" s="240"/>
      <c r="AV54" s="240"/>
      <c r="AW54" s="240"/>
      <c r="AX54" s="240"/>
      <c r="AY54" s="240"/>
      <c r="AZ54" s="240"/>
      <c r="BA54" s="240"/>
      <c r="BB54" s="240"/>
      <c r="BC54" s="240"/>
      <c r="BD54" s="240"/>
      <c r="BE54" s="240"/>
      <c r="BF54" s="240"/>
      <c r="BG54" s="240"/>
      <c r="BH54" s="240"/>
      <c r="BI54" s="240"/>
      <c r="BJ54" s="240"/>
      <c r="BK54" s="240"/>
      <c r="BL54" s="240"/>
      <c r="BM54" s="240"/>
      <c r="BN54" s="240"/>
      <c r="BO54" s="240"/>
      <c r="BP54" s="240"/>
      <c r="BQ54" s="240"/>
      <c r="BR54" s="240"/>
      <c r="BS54" s="240"/>
      <c r="BT54" s="240"/>
      <c r="BU54" s="240"/>
      <c r="BV54" s="240"/>
      <c r="BW54" s="240"/>
      <c r="BX54" s="240"/>
      <c r="BY54" s="240"/>
      <c r="BZ54" s="240"/>
      <c r="CA54" s="240"/>
      <c r="CB54" s="240"/>
      <c r="CC54" s="240"/>
    </row>
    <row r="55" spans="1:82" s="241" customFormat="1">
      <c r="A55" s="355"/>
      <c r="B55" s="187"/>
      <c r="C55" s="507"/>
      <c r="D55" s="508"/>
      <c r="E55" s="389"/>
      <c r="F55" s="509"/>
      <c r="G55" s="510"/>
      <c r="H55" s="335"/>
      <c r="I55" s="511"/>
      <c r="J55" s="512"/>
      <c r="K55" s="586"/>
      <c r="L55" s="587"/>
      <c r="M55" s="588"/>
      <c r="N55" s="363"/>
      <c r="O55" s="316"/>
      <c r="P55" s="240"/>
      <c r="Q55" s="240"/>
      <c r="R55" s="240"/>
      <c r="S55" s="240"/>
      <c r="T55" s="240"/>
      <c r="U55" s="240"/>
      <c r="V55" s="240"/>
      <c r="W55" s="240"/>
      <c r="X55" s="240"/>
      <c r="Y55" s="240"/>
      <c r="Z55" s="240"/>
      <c r="AA55" s="240"/>
      <c r="AB55" s="240"/>
      <c r="AC55" s="240"/>
      <c r="AD55" s="240"/>
      <c r="AE55" s="240"/>
      <c r="AF55" s="240"/>
      <c r="AG55" s="240"/>
      <c r="AH55" s="240"/>
      <c r="AI55" s="240"/>
      <c r="AJ55" s="240"/>
      <c r="AK55" s="240"/>
      <c r="AL55" s="240"/>
      <c r="AM55" s="240"/>
      <c r="AN55" s="240"/>
      <c r="AO55" s="240"/>
      <c r="AP55" s="240"/>
      <c r="AQ55" s="240"/>
      <c r="AR55" s="240"/>
      <c r="AS55" s="240"/>
      <c r="AT55" s="240"/>
      <c r="AU55" s="240"/>
      <c r="AV55" s="240"/>
      <c r="AW55" s="240"/>
      <c r="AX55" s="240"/>
      <c r="AY55" s="240"/>
      <c r="AZ55" s="240"/>
      <c r="BA55" s="240"/>
      <c r="BB55" s="240"/>
      <c r="BC55" s="240"/>
      <c r="BD55" s="240"/>
      <c r="BE55" s="240"/>
      <c r="BF55" s="240"/>
      <c r="BG55" s="240"/>
      <c r="BH55" s="240"/>
      <c r="BI55" s="240"/>
      <c r="BJ55" s="240"/>
      <c r="BK55" s="240"/>
      <c r="BL55" s="240"/>
      <c r="BM55" s="240"/>
      <c r="BN55" s="240"/>
      <c r="BO55" s="240"/>
      <c r="BP55" s="240"/>
      <c r="BQ55" s="240"/>
      <c r="BR55" s="240"/>
      <c r="BS55" s="240"/>
      <c r="BT55" s="240"/>
      <c r="BU55" s="240"/>
      <c r="BV55" s="240"/>
      <c r="BW55" s="240"/>
      <c r="BX55" s="240"/>
      <c r="BY55" s="240"/>
      <c r="BZ55" s="240"/>
      <c r="CA55" s="240"/>
      <c r="CB55" s="240"/>
      <c r="CC55" s="240"/>
    </row>
    <row r="56" spans="1:82" s="241" customFormat="1">
      <c r="A56" s="355"/>
      <c r="B56" s="187"/>
      <c r="C56" s="507"/>
      <c r="D56" s="508"/>
      <c r="E56" s="389"/>
      <c r="F56" s="509"/>
      <c r="G56" s="510"/>
      <c r="H56" s="335"/>
      <c r="I56" s="511"/>
      <c r="J56" s="512"/>
      <c r="K56" s="586"/>
      <c r="L56" s="587"/>
      <c r="M56" s="588"/>
      <c r="N56" s="363"/>
      <c r="O56" s="316"/>
      <c r="P56" s="240"/>
      <c r="Q56" s="240"/>
      <c r="R56" s="240"/>
      <c r="S56" s="240"/>
      <c r="T56" s="240"/>
      <c r="U56" s="240"/>
      <c r="V56" s="240"/>
      <c r="W56" s="240"/>
      <c r="X56" s="240"/>
      <c r="Y56" s="240"/>
      <c r="Z56" s="240"/>
      <c r="AA56" s="240"/>
      <c r="AB56" s="240"/>
      <c r="AC56" s="240"/>
      <c r="AD56" s="240"/>
      <c r="AE56" s="240"/>
      <c r="AF56" s="240"/>
      <c r="AG56" s="240"/>
      <c r="AH56" s="240"/>
      <c r="AI56" s="240"/>
      <c r="AJ56" s="240"/>
      <c r="AK56" s="240"/>
      <c r="AL56" s="240"/>
      <c r="AM56" s="240"/>
      <c r="AN56" s="240"/>
      <c r="AO56" s="240"/>
      <c r="AP56" s="240"/>
      <c r="AQ56" s="240"/>
      <c r="AR56" s="240"/>
      <c r="AS56" s="240"/>
      <c r="AT56" s="240"/>
      <c r="AU56" s="240"/>
      <c r="AV56" s="240"/>
      <c r="AW56" s="240"/>
      <c r="AX56" s="240"/>
      <c r="AY56" s="240"/>
      <c r="AZ56" s="240"/>
      <c r="BA56" s="240"/>
      <c r="BB56" s="240"/>
      <c r="BC56" s="240"/>
      <c r="BD56" s="240"/>
      <c r="BE56" s="240"/>
      <c r="BF56" s="240"/>
      <c r="BG56" s="240"/>
      <c r="BH56" s="240"/>
      <c r="BI56" s="240"/>
      <c r="BJ56" s="240"/>
      <c r="BK56" s="240"/>
      <c r="BL56" s="240"/>
      <c r="BM56" s="240"/>
      <c r="BN56" s="240"/>
      <c r="BO56" s="240"/>
      <c r="BP56" s="240"/>
      <c r="BQ56" s="240"/>
      <c r="BR56" s="240"/>
      <c r="BS56" s="240"/>
      <c r="BT56" s="240"/>
      <c r="BU56" s="240"/>
      <c r="BV56" s="240"/>
      <c r="BW56" s="240"/>
      <c r="BX56" s="240"/>
      <c r="BY56" s="240"/>
      <c r="BZ56" s="240"/>
      <c r="CA56" s="240"/>
      <c r="CB56" s="240"/>
      <c r="CC56" s="240"/>
    </row>
    <row r="57" spans="1:82" s="241" customFormat="1">
      <c r="A57" s="355"/>
      <c r="B57" s="187"/>
      <c r="C57" s="507"/>
      <c r="D57" s="508"/>
      <c r="E57" s="389"/>
      <c r="F57" s="509"/>
      <c r="G57" s="510"/>
      <c r="H57" s="335"/>
      <c r="I57" s="511"/>
      <c r="J57" s="512"/>
      <c r="K57" s="586"/>
      <c r="L57" s="587"/>
      <c r="M57" s="588"/>
      <c r="N57" s="363"/>
      <c r="O57" s="316"/>
      <c r="P57" s="240"/>
      <c r="Q57" s="240"/>
      <c r="R57" s="240"/>
      <c r="S57" s="240"/>
      <c r="T57" s="240"/>
      <c r="U57" s="240"/>
      <c r="V57" s="240"/>
      <c r="W57" s="240"/>
      <c r="X57" s="240"/>
      <c r="Y57" s="240"/>
      <c r="Z57" s="240"/>
      <c r="AA57" s="240"/>
      <c r="AB57" s="240"/>
      <c r="AC57" s="240"/>
      <c r="AD57" s="240"/>
      <c r="AE57" s="240"/>
      <c r="AF57" s="240"/>
      <c r="AG57" s="240"/>
      <c r="AH57" s="240"/>
      <c r="AI57" s="240"/>
      <c r="AJ57" s="240"/>
      <c r="AK57" s="240"/>
      <c r="AL57" s="240"/>
      <c r="AM57" s="240"/>
      <c r="AN57" s="240"/>
      <c r="AO57" s="240"/>
      <c r="AP57" s="240"/>
      <c r="AQ57" s="240"/>
      <c r="AR57" s="240"/>
      <c r="AS57" s="240"/>
      <c r="AT57" s="240"/>
      <c r="AU57" s="240"/>
      <c r="AV57" s="240"/>
      <c r="AW57" s="240"/>
      <c r="AX57" s="240"/>
      <c r="AY57" s="240"/>
      <c r="AZ57" s="240"/>
      <c r="BA57" s="240"/>
      <c r="BB57" s="240"/>
      <c r="BC57" s="240"/>
      <c r="BD57" s="240"/>
      <c r="BE57" s="240"/>
      <c r="BF57" s="240"/>
      <c r="BG57" s="240"/>
      <c r="BH57" s="240"/>
      <c r="BI57" s="240"/>
      <c r="BJ57" s="240"/>
      <c r="BK57" s="240"/>
      <c r="BL57" s="240"/>
      <c r="BM57" s="240"/>
      <c r="BN57" s="240"/>
      <c r="BO57" s="240"/>
      <c r="BP57" s="240"/>
      <c r="BQ57" s="240"/>
      <c r="BR57" s="240"/>
      <c r="BS57" s="240"/>
      <c r="BT57" s="240"/>
      <c r="BU57" s="240"/>
      <c r="BV57" s="240"/>
      <c r="BW57" s="240"/>
      <c r="BX57" s="240"/>
      <c r="BY57" s="240"/>
      <c r="BZ57" s="240"/>
      <c r="CA57" s="240"/>
      <c r="CB57" s="240"/>
      <c r="CC57" s="240"/>
    </row>
    <row r="58" spans="1:82" s="241" customFormat="1">
      <c r="A58" s="355"/>
      <c r="B58" s="187"/>
      <c r="C58" s="507"/>
      <c r="D58" s="508"/>
      <c r="E58" s="389"/>
      <c r="F58" s="509"/>
      <c r="G58" s="510"/>
      <c r="H58" s="335"/>
      <c r="I58" s="511"/>
      <c r="J58" s="512"/>
      <c r="K58" s="586"/>
      <c r="L58" s="587"/>
      <c r="M58" s="588"/>
      <c r="N58" s="363"/>
      <c r="O58" s="316"/>
      <c r="P58" s="240"/>
      <c r="Q58" s="240"/>
      <c r="R58" s="240"/>
      <c r="S58" s="240"/>
      <c r="T58" s="240"/>
      <c r="U58" s="240"/>
      <c r="V58" s="240"/>
      <c r="W58" s="240"/>
      <c r="X58" s="240"/>
      <c r="Y58" s="240"/>
      <c r="Z58" s="240"/>
      <c r="AA58" s="240"/>
      <c r="AB58" s="240"/>
      <c r="AC58" s="240"/>
      <c r="AD58" s="240"/>
      <c r="AE58" s="240"/>
      <c r="AF58" s="240"/>
      <c r="AG58" s="240"/>
      <c r="AH58" s="240"/>
      <c r="AI58" s="240"/>
      <c r="AJ58" s="240"/>
      <c r="AK58" s="240"/>
      <c r="AL58" s="240"/>
      <c r="AM58" s="240"/>
      <c r="AN58" s="240"/>
      <c r="AO58" s="240"/>
      <c r="AP58" s="240"/>
      <c r="AQ58" s="240"/>
      <c r="AR58" s="240"/>
      <c r="AS58" s="240"/>
      <c r="AT58" s="240"/>
      <c r="AU58" s="240"/>
      <c r="AV58" s="240"/>
      <c r="AW58" s="240"/>
      <c r="AX58" s="240"/>
      <c r="AY58" s="240"/>
      <c r="AZ58" s="240"/>
      <c r="BA58" s="240"/>
      <c r="BB58" s="240"/>
      <c r="BC58" s="240"/>
      <c r="BD58" s="240"/>
      <c r="BE58" s="240"/>
      <c r="BF58" s="240"/>
      <c r="BG58" s="240"/>
      <c r="BH58" s="240"/>
      <c r="BI58" s="240"/>
      <c r="BJ58" s="240"/>
      <c r="BK58" s="240"/>
      <c r="BL58" s="240"/>
      <c r="BM58" s="240"/>
      <c r="BN58" s="240"/>
      <c r="BO58" s="240"/>
      <c r="BP58" s="240"/>
      <c r="BQ58" s="240"/>
      <c r="BR58" s="240"/>
      <c r="BS58" s="240"/>
      <c r="BT58" s="240"/>
      <c r="BU58" s="240"/>
      <c r="BV58" s="240"/>
      <c r="BW58" s="240"/>
      <c r="BX58" s="240"/>
      <c r="BY58" s="240"/>
      <c r="BZ58" s="240"/>
      <c r="CA58" s="240"/>
      <c r="CB58" s="240"/>
      <c r="CC58" s="240"/>
    </row>
    <row r="59" spans="1:82" s="241" customFormat="1">
      <c r="A59" s="355"/>
      <c r="B59" s="187"/>
      <c r="C59" s="507"/>
      <c r="D59" s="508"/>
      <c r="E59" s="389"/>
      <c r="F59" s="509"/>
      <c r="G59" s="510"/>
      <c r="H59" s="335"/>
      <c r="I59" s="511"/>
      <c r="J59" s="512"/>
      <c r="K59" s="411">
        <f t="shared" ref="K59" si="23">+D59</f>
        <v>0</v>
      </c>
      <c r="L59" s="361">
        <f t="shared" si="11"/>
        <v>0</v>
      </c>
      <c r="M59" s="362">
        <f t="shared" si="12"/>
        <v>0</v>
      </c>
      <c r="N59" s="363"/>
      <c r="O59" s="316"/>
      <c r="P59" s="240"/>
      <c r="Q59" s="240"/>
      <c r="R59" s="240"/>
      <c r="S59" s="240"/>
      <c r="T59" s="240"/>
      <c r="U59" s="240"/>
      <c r="V59" s="240"/>
      <c r="W59" s="240"/>
      <c r="X59" s="240"/>
      <c r="Y59" s="240"/>
      <c r="Z59" s="240"/>
      <c r="AA59" s="240"/>
      <c r="AB59" s="240"/>
      <c r="AC59" s="240"/>
      <c r="AD59" s="240"/>
      <c r="AE59" s="240"/>
      <c r="AF59" s="240"/>
      <c r="AG59" s="240"/>
      <c r="AH59" s="240"/>
      <c r="AI59" s="240"/>
      <c r="AJ59" s="240"/>
      <c r="AK59" s="240"/>
      <c r="AL59" s="240"/>
      <c r="AM59" s="240"/>
      <c r="AN59" s="240"/>
      <c r="AO59" s="240"/>
      <c r="AP59" s="240"/>
      <c r="AQ59" s="240"/>
      <c r="AR59" s="240"/>
      <c r="AS59" s="240"/>
      <c r="AT59" s="240"/>
      <c r="AU59" s="240"/>
      <c r="AV59" s="240"/>
      <c r="AW59" s="240"/>
      <c r="AX59" s="240"/>
      <c r="AY59" s="240"/>
      <c r="AZ59" s="240"/>
      <c r="BA59" s="240"/>
      <c r="BB59" s="240"/>
      <c r="BC59" s="240"/>
      <c r="BD59" s="240"/>
      <c r="BE59" s="240"/>
      <c r="BF59" s="240"/>
      <c r="BG59" s="240"/>
      <c r="BH59" s="240"/>
      <c r="BI59" s="240"/>
      <c r="BJ59" s="240"/>
      <c r="BK59" s="240"/>
      <c r="BL59" s="240"/>
      <c r="BM59" s="240"/>
      <c r="BN59" s="240"/>
      <c r="BO59" s="240"/>
      <c r="BP59" s="240"/>
      <c r="BQ59" s="240"/>
      <c r="BR59" s="240"/>
      <c r="BS59" s="240"/>
      <c r="BT59" s="240"/>
      <c r="BU59" s="240"/>
      <c r="BV59" s="240"/>
      <c r="BW59" s="240"/>
      <c r="BX59" s="240"/>
      <c r="BY59" s="240"/>
      <c r="BZ59" s="240"/>
      <c r="CA59" s="240"/>
      <c r="CB59" s="240"/>
      <c r="CC59" s="240"/>
    </row>
    <row r="60" spans="1:82" s="72" customFormat="1">
      <c r="A60" s="355"/>
      <c r="B60" s="350"/>
      <c r="C60" s="366"/>
      <c r="D60" s="367"/>
      <c r="E60" s="368"/>
      <c r="F60" s="368"/>
      <c r="G60" s="369"/>
      <c r="H60" s="370"/>
      <c r="I60" s="371"/>
      <c r="J60" s="371"/>
      <c r="K60" s="371"/>
      <c r="L60" s="371"/>
      <c r="M60" s="371"/>
      <c r="N60" s="320"/>
      <c r="O60" s="316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</row>
    <row r="61" spans="1:82" s="71" customFormat="1">
      <c r="A61" s="317"/>
      <c r="B61" s="318"/>
      <c r="C61" s="372"/>
      <c r="D61" s="317"/>
      <c r="E61" s="317"/>
      <c r="F61" s="373"/>
      <c r="G61" s="373"/>
      <c r="H61" s="374"/>
      <c r="I61" s="317"/>
      <c r="J61" s="317"/>
      <c r="K61" s="317"/>
      <c r="L61" s="317"/>
      <c r="M61" s="317"/>
      <c r="N61" s="317"/>
      <c r="O61" s="316"/>
      <c r="P61" s="316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</row>
  </sheetData>
  <mergeCells count="3">
    <mergeCell ref="C1:F8"/>
    <mergeCell ref="H2:I3"/>
    <mergeCell ref="H18:I19"/>
  </mergeCells>
  <phoneticPr fontId="11" type="noConversion"/>
  <pageMargins left="1" right="1" top="1" bottom="1" header="0.25" footer="0.25"/>
  <pageSetup scale="12" orientation="landscape" r:id="rId1"/>
  <headerFooter>
    <oddFooter>&amp;C&amp;"Helvetica,Regular"&amp;12&amp;K000000&amp;P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" operator="containsText" id="{1B9BA5EE-86C3-4B1C-B8D5-B8CB504A781B}">
            <xm:f>NOT(ISERROR(SEARCH("-",N22)))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N22:N59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CB34"/>
  <sheetViews>
    <sheetView topLeftCell="A3" zoomScaleNormal="100" workbookViewId="0">
      <selection activeCell="F25" sqref="F25"/>
    </sheetView>
  </sheetViews>
  <sheetFormatPr baseColWidth="10" defaultColWidth="10.83203125" defaultRowHeight="13"/>
  <cols>
    <col min="1" max="1" width="10.83203125" style="22"/>
    <col min="2" max="5" width="15.83203125" style="22" customWidth="1"/>
    <col min="6" max="6" width="12.83203125" style="226" bestFit="1" customWidth="1"/>
    <col min="7" max="7" width="35.83203125" style="22" customWidth="1"/>
    <col min="8" max="12" width="15.83203125" style="22" customWidth="1"/>
    <col min="13" max="16384" width="10.83203125" style="22"/>
  </cols>
  <sheetData>
    <row r="1" spans="1:8" ht="13" customHeight="1">
      <c r="A1" s="736"/>
      <c r="B1" s="736"/>
      <c r="C1" s="736"/>
      <c r="D1" s="737"/>
      <c r="F1" s="224"/>
      <c r="G1" s="28"/>
    </row>
    <row r="2" spans="1:8" ht="13" customHeight="1">
      <c r="A2" s="738"/>
      <c r="B2" s="738"/>
      <c r="C2" s="738"/>
      <c r="D2" s="739"/>
      <c r="E2" s="33"/>
      <c r="F2" s="735" t="s">
        <v>58</v>
      </c>
      <c r="G2" s="735"/>
      <c r="H2" s="29"/>
    </row>
    <row r="3" spans="1:8" ht="13" customHeight="1">
      <c r="A3" s="738"/>
      <c r="B3" s="738"/>
      <c r="C3" s="738"/>
      <c r="D3" s="739"/>
      <c r="E3" s="33"/>
      <c r="F3" s="735"/>
      <c r="G3" s="735"/>
      <c r="H3" s="29"/>
    </row>
    <row r="4" spans="1:8" ht="13" customHeight="1">
      <c r="A4" s="738"/>
      <c r="B4" s="738"/>
      <c r="C4" s="738"/>
      <c r="D4" s="739"/>
      <c r="F4" s="225"/>
      <c r="G4" s="32"/>
    </row>
    <row r="5" spans="1:8" ht="13" customHeight="1">
      <c r="A5" s="738"/>
      <c r="B5" s="738"/>
      <c r="C5" s="738"/>
      <c r="D5" s="739"/>
    </row>
    <row r="6" spans="1:8" ht="13" customHeight="1">
      <c r="A6" s="738"/>
      <c r="B6" s="738"/>
      <c r="C6" s="738"/>
      <c r="D6" s="739"/>
      <c r="G6" s="28"/>
    </row>
    <row r="7" spans="1:8" ht="13" customHeight="1">
      <c r="A7" s="738"/>
      <c r="B7" s="738"/>
      <c r="C7" s="738"/>
      <c r="D7" s="739"/>
      <c r="F7" s="225"/>
    </row>
    <row r="8" spans="1:8" ht="13" customHeight="1">
      <c r="A8" s="740"/>
      <c r="B8" s="740"/>
      <c r="C8" s="740"/>
      <c r="D8" s="741"/>
      <c r="F8" s="225"/>
    </row>
    <row r="9" spans="1:8" ht="21">
      <c r="A9" s="85"/>
      <c r="B9" s="78"/>
      <c r="C9" s="78"/>
      <c r="D9" s="79"/>
      <c r="F9" s="225"/>
    </row>
    <row r="10" spans="1:8" ht="68" customHeight="1">
      <c r="A10" s="65" t="s">
        <v>2</v>
      </c>
      <c r="B10" s="65" t="s">
        <v>81</v>
      </c>
      <c r="C10" s="65" t="s">
        <v>41</v>
      </c>
      <c r="D10" s="65" t="s">
        <v>39</v>
      </c>
      <c r="F10" s="225"/>
    </row>
    <row r="11" spans="1:8" ht="20" customHeight="1">
      <c r="A11" s="333">
        <v>1</v>
      </c>
      <c r="B11" s="334" t="s">
        <v>124</v>
      </c>
      <c r="C11" s="60"/>
      <c r="D11" s="61">
        <v>200000</v>
      </c>
      <c r="F11" s="225"/>
    </row>
    <row r="12" spans="1:8" ht="20" customHeight="1">
      <c r="A12" s="333">
        <v>2</v>
      </c>
      <c r="B12" s="337"/>
      <c r="C12" s="60"/>
      <c r="D12" s="61"/>
      <c r="F12" s="225"/>
    </row>
    <row r="13" spans="1:8" ht="20" customHeight="1">
      <c r="A13" s="333">
        <v>3</v>
      </c>
      <c r="B13" s="62"/>
      <c r="C13" s="60"/>
      <c r="D13" s="61"/>
      <c r="F13" s="225"/>
    </row>
    <row r="14" spans="1:8" ht="20" customHeight="1">
      <c r="A14" s="333"/>
      <c r="B14" s="337"/>
      <c r="C14" s="73"/>
      <c r="D14" s="101"/>
      <c r="F14" s="225"/>
    </row>
    <row r="15" spans="1:8" ht="20" customHeight="1">
      <c r="A15" s="58"/>
      <c r="B15" s="62"/>
      <c r="C15" s="60"/>
      <c r="D15" s="61"/>
      <c r="F15" s="225"/>
    </row>
    <row r="16" spans="1:8" ht="20" customHeight="1">
      <c r="A16" s="28"/>
      <c r="B16" s="28"/>
      <c r="C16" s="28"/>
      <c r="D16" s="120">
        <f>SUM(D11:D15)</f>
        <v>200000</v>
      </c>
      <c r="E16" s="189"/>
      <c r="F16" s="225"/>
    </row>
    <row r="17" spans="1:80" s="28" customFormat="1">
      <c r="F17" s="224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</row>
    <row r="18" spans="1:80" s="28" customFormat="1">
      <c r="F18" s="734" t="s">
        <v>83</v>
      </c>
      <c r="G18" s="734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</row>
    <row r="19" spans="1:80" s="28" customFormat="1" ht="14">
      <c r="F19" s="734"/>
      <c r="G19" s="734"/>
      <c r="J19" s="123" t="s">
        <v>38</v>
      </c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</row>
    <row r="20" spans="1:80" s="28" customFormat="1" ht="25" customHeight="1">
      <c r="B20" s="80" t="s">
        <v>55</v>
      </c>
      <c r="C20" s="381">
        <f>SUM(C22:C33)</f>
        <v>117471</v>
      </c>
      <c r="F20" s="224"/>
      <c r="I20" s="80" t="s">
        <v>56</v>
      </c>
      <c r="J20" s="381">
        <f>SUM(J22:J33)</f>
        <v>117471</v>
      </c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</row>
    <row r="21" spans="1:80" s="70" customFormat="1" ht="25" customHeight="1">
      <c r="A21" s="86" t="s">
        <v>54</v>
      </c>
      <c r="B21" s="66" t="s">
        <v>43</v>
      </c>
      <c r="C21" s="67" t="s">
        <v>44</v>
      </c>
      <c r="D21" s="67" t="s">
        <v>45</v>
      </c>
      <c r="E21" s="67" t="s">
        <v>46</v>
      </c>
      <c r="F21" s="67" t="s">
        <v>47</v>
      </c>
      <c r="G21" s="68" t="s">
        <v>48</v>
      </c>
      <c r="H21" s="68" t="s">
        <v>49</v>
      </c>
      <c r="I21" s="68" t="s">
        <v>50</v>
      </c>
      <c r="J21" s="68" t="s">
        <v>51</v>
      </c>
      <c r="K21" s="68" t="s">
        <v>52</v>
      </c>
      <c r="L21" s="68" t="s">
        <v>53</v>
      </c>
      <c r="M21" s="29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</row>
    <row r="22" spans="1:80" s="72" customFormat="1" ht="16">
      <c r="A22" s="187" t="s">
        <v>392</v>
      </c>
      <c r="B22" s="507">
        <v>45880</v>
      </c>
      <c r="C22" s="508">
        <v>117471</v>
      </c>
      <c r="D22" s="389">
        <f>C22*0.19</f>
        <v>22319.49</v>
      </c>
      <c r="E22" s="509">
        <f>C22+D22</f>
        <v>139790.49</v>
      </c>
      <c r="F22" s="357"/>
      <c r="G22" s="358"/>
      <c r="H22" s="359"/>
      <c r="I22" s="360"/>
      <c r="J22" s="411">
        <f>+C22</f>
        <v>117471</v>
      </c>
      <c r="K22" s="361">
        <f>+J22*0.19</f>
        <v>22319.49</v>
      </c>
      <c r="L22" s="362">
        <f>+J22+K22</f>
        <v>139790.49</v>
      </c>
      <c r="M22" s="29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</row>
    <row r="23" spans="1:80" s="72" customFormat="1" ht="16">
      <c r="A23" s="230"/>
      <c r="B23" s="221"/>
      <c r="C23" s="217"/>
      <c r="D23" s="217">
        <f t="shared" ref="D23:D32" si="0">+C23*0.19</f>
        <v>0</v>
      </c>
      <c r="E23" s="217">
        <f t="shared" ref="E23:E32" si="1">+D23+C23</f>
        <v>0</v>
      </c>
      <c r="F23" s="378"/>
      <c r="G23" s="73"/>
      <c r="H23" s="74"/>
      <c r="I23" s="74"/>
      <c r="J23" s="217"/>
      <c r="K23" s="217">
        <f t="shared" ref="K23" si="2">+J23*0.19</f>
        <v>0</v>
      </c>
      <c r="L23" s="217">
        <f t="shared" ref="L23" si="3">+K23+J23</f>
        <v>0</v>
      </c>
      <c r="M23" s="29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</row>
    <row r="24" spans="1:80" s="72" customFormat="1">
      <c r="A24" s="230"/>
      <c r="B24" s="221"/>
      <c r="C24" s="217"/>
      <c r="D24" s="217">
        <f t="shared" si="0"/>
        <v>0</v>
      </c>
      <c r="E24" s="217">
        <f t="shared" si="1"/>
        <v>0</v>
      </c>
      <c r="F24" s="227"/>
      <c r="G24" s="73"/>
      <c r="H24" s="74"/>
      <c r="I24" s="74"/>
      <c r="J24" s="74"/>
      <c r="K24" s="244">
        <f t="shared" ref="K24:K32" si="4">+J24*0.19</f>
        <v>0</v>
      </c>
      <c r="L24" s="245">
        <f t="shared" ref="L24:L32" si="5">+K24+J24</f>
        <v>0</v>
      </c>
      <c r="M24" s="29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</row>
    <row r="25" spans="1:80" s="72" customFormat="1">
      <c r="A25" s="230"/>
      <c r="B25" s="221"/>
      <c r="C25" s="217"/>
      <c r="D25" s="217">
        <f t="shared" si="0"/>
        <v>0</v>
      </c>
      <c r="E25" s="217">
        <f t="shared" si="1"/>
        <v>0</v>
      </c>
      <c r="F25" s="227"/>
      <c r="G25" s="73"/>
      <c r="H25" s="74"/>
      <c r="I25" s="74"/>
      <c r="J25" s="74"/>
      <c r="K25" s="244">
        <f t="shared" si="4"/>
        <v>0</v>
      </c>
      <c r="L25" s="245">
        <f t="shared" si="5"/>
        <v>0</v>
      </c>
      <c r="M25" s="29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</row>
    <row r="26" spans="1:80" s="72" customFormat="1">
      <c r="A26" s="230"/>
      <c r="B26" s="221"/>
      <c r="C26" s="217"/>
      <c r="D26" s="217">
        <f t="shared" si="0"/>
        <v>0</v>
      </c>
      <c r="E26" s="217">
        <f t="shared" si="1"/>
        <v>0</v>
      </c>
      <c r="F26" s="227"/>
      <c r="G26" s="73"/>
      <c r="H26" s="74"/>
      <c r="I26" s="74"/>
      <c r="J26" s="74"/>
      <c r="K26" s="244">
        <f t="shared" si="4"/>
        <v>0</v>
      </c>
      <c r="L26" s="245">
        <f t="shared" si="5"/>
        <v>0</v>
      </c>
      <c r="M26" s="29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</row>
    <row r="27" spans="1:80" s="72" customFormat="1">
      <c r="A27" s="230"/>
      <c r="B27" s="221"/>
      <c r="C27" s="217"/>
      <c r="D27" s="217">
        <f t="shared" si="0"/>
        <v>0</v>
      </c>
      <c r="E27" s="217">
        <f t="shared" si="1"/>
        <v>0</v>
      </c>
      <c r="F27" s="227"/>
      <c r="G27" s="73"/>
      <c r="H27" s="74"/>
      <c r="I27" s="74"/>
      <c r="J27" s="74"/>
      <c r="K27" s="244">
        <f t="shared" si="4"/>
        <v>0</v>
      </c>
      <c r="L27" s="245">
        <f t="shared" si="5"/>
        <v>0</v>
      </c>
      <c r="M27" s="29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</row>
    <row r="28" spans="1:80" s="72" customFormat="1">
      <c r="A28" s="230"/>
      <c r="B28" s="221"/>
      <c r="C28" s="217"/>
      <c r="D28" s="217">
        <f t="shared" si="0"/>
        <v>0</v>
      </c>
      <c r="E28" s="217">
        <f t="shared" si="1"/>
        <v>0</v>
      </c>
      <c r="F28" s="227"/>
      <c r="G28" s="73"/>
      <c r="H28" s="74"/>
      <c r="I28" s="74"/>
      <c r="J28" s="74"/>
      <c r="K28" s="244">
        <f t="shared" si="4"/>
        <v>0</v>
      </c>
      <c r="L28" s="245">
        <f t="shared" si="5"/>
        <v>0</v>
      </c>
      <c r="M28" s="29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</row>
    <row r="29" spans="1:80" s="72" customFormat="1">
      <c r="A29" s="230"/>
      <c r="B29" s="221"/>
      <c r="C29" s="217"/>
      <c r="D29" s="217">
        <f t="shared" si="0"/>
        <v>0</v>
      </c>
      <c r="E29" s="217">
        <f t="shared" si="1"/>
        <v>0</v>
      </c>
      <c r="F29" s="227"/>
      <c r="G29" s="73"/>
      <c r="H29" s="74"/>
      <c r="I29" s="74"/>
      <c r="J29" s="74"/>
      <c r="K29" s="244">
        <f t="shared" si="4"/>
        <v>0</v>
      </c>
      <c r="L29" s="245">
        <f t="shared" si="5"/>
        <v>0</v>
      </c>
      <c r="M29" s="29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</row>
    <row r="30" spans="1:80" s="72" customFormat="1">
      <c r="A30" s="230"/>
      <c r="B30" s="221"/>
      <c r="C30" s="217"/>
      <c r="D30" s="217">
        <f t="shared" si="0"/>
        <v>0</v>
      </c>
      <c r="E30" s="217">
        <f t="shared" si="1"/>
        <v>0</v>
      </c>
      <c r="F30" s="227"/>
      <c r="G30" s="73"/>
      <c r="H30" s="74"/>
      <c r="I30" s="74"/>
      <c r="J30" s="74"/>
      <c r="K30" s="244">
        <f t="shared" si="4"/>
        <v>0</v>
      </c>
      <c r="L30" s="245">
        <f t="shared" si="5"/>
        <v>0</v>
      </c>
      <c r="M30" s="29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</row>
    <row r="31" spans="1:80" s="72" customFormat="1">
      <c r="A31" s="230"/>
      <c r="B31" s="221"/>
      <c r="C31" s="217"/>
      <c r="D31" s="217">
        <f t="shared" si="0"/>
        <v>0</v>
      </c>
      <c r="E31" s="217">
        <f t="shared" si="1"/>
        <v>0</v>
      </c>
      <c r="F31" s="227"/>
      <c r="G31" s="73"/>
      <c r="H31" s="74"/>
      <c r="I31" s="74"/>
      <c r="J31" s="74"/>
      <c r="K31" s="244">
        <f t="shared" si="4"/>
        <v>0</v>
      </c>
      <c r="L31" s="245">
        <f t="shared" si="5"/>
        <v>0</v>
      </c>
      <c r="M31" s="29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</row>
    <row r="32" spans="1:80" s="72" customFormat="1">
      <c r="A32" s="230"/>
      <c r="B32" s="221"/>
      <c r="C32" s="217"/>
      <c r="D32" s="217">
        <f t="shared" si="0"/>
        <v>0</v>
      </c>
      <c r="E32" s="217">
        <f t="shared" si="1"/>
        <v>0</v>
      </c>
      <c r="F32" s="227"/>
      <c r="G32" s="73"/>
      <c r="H32" s="74"/>
      <c r="I32" s="74"/>
      <c r="J32" s="74"/>
      <c r="K32" s="244">
        <f t="shared" si="4"/>
        <v>0</v>
      </c>
      <c r="L32" s="245">
        <f t="shared" si="5"/>
        <v>0</v>
      </c>
      <c r="M32" s="29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</row>
    <row r="33" spans="1:80" s="72" customFormat="1">
      <c r="A33" s="87"/>
      <c r="B33" s="82"/>
      <c r="C33" s="82"/>
      <c r="D33" s="82"/>
      <c r="E33" s="82"/>
      <c r="F33" s="228"/>
      <c r="G33" s="83"/>
      <c r="H33" s="84"/>
      <c r="I33" s="84"/>
      <c r="J33" s="84"/>
      <c r="K33" s="84"/>
      <c r="L33" s="84"/>
      <c r="M33" s="29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</row>
    <row r="34" spans="1:80" s="71" customFormat="1">
      <c r="F34" s="229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</row>
  </sheetData>
  <mergeCells count="3">
    <mergeCell ref="F2:G3"/>
    <mergeCell ref="F18:G19"/>
    <mergeCell ref="A1:D8"/>
  </mergeCells>
  <phoneticPr fontId="11" type="noConversion"/>
  <pageMargins left="0.75000000000000011" right="0.75000000000000011" top="1" bottom="1" header="0.5" footer="0.5"/>
  <pageSetup scale="13" orientation="landscape" horizontalDpi="4294967292" verticalDpi="4294967292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B35"/>
  <sheetViews>
    <sheetView topLeftCell="A10" workbookViewId="0">
      <selection activeCell="J20" sqref="J20:J21"/>
    </sheetView>
  </sheetViews>
  <sheetFormatPr baseColWidth="10" defaultColWidth="10.83203125" defaultRowHeight="13"/>
  <cols>
    <col min="1" max="1" width="10.83203125" style="22"/>
    <col min="2" max="5" width="15.83203125" style="22" customWidth="1"/>
    <col min="6" max="7" width="35.83203125" style="22" customWidth="1"/>
    <col min="8" max="12" width="15.83203125" style="22" customWidth="1"/>
    <col min="13" max="16384" width="10.83203125" style="22"/>
  </cols>
  <sheetData>
    <row r="1" spans="1:8" ht="13" customHeight="1">
      <c r="A1" s="736"/>
      <c r="B1" s="736"/>
      <c r="C1" s="736"/>
      <c r="D1" s="737"/>
      <c r="F1" s="28"/>
      <c r="G1" s="28"/>
    </row>
    <row r="2" spans="1:8" ht="13" customHeight="1">
      <c r="A2" s="738"/>
      <c r="B2" s="738"/>
      <c r="C2" s="738"/>
      <c r="D2" s="739"/>
      <c r="E2" s="33"/>
      <c r="F2" s="735" t="s">
        <v>58</v>
      </c>
      <c r="G2" s="735"/>
      <c r="H2" s="29"/>
    </row>
    <row r="3" spans="1:8" ht="13" customHeight="1">
      <c r="A3" s="738"/>
      <c r="B3" s="738"/>
      <c r="C3" s="738"/>
      <c r="D3" s="739"/>
      <c r="E3" s="33"/>
      <c r="F3" s="735"/>
      <c r="G3" s="735"/>
      <c r="H3" s="29"/>
    </row>
    <row r="4" spans="1:8" ht="13" customHeight="1">
      <c r="A4" s="738"/>
      <c r="B4" s="738"/>
      <c r="C4" s="738"/>
      <c r="D4" s="739"/>
      <c r="F4" s="32"/>
      <c r="G4" s="32"/>
    </row>
    <row r="5" spans="1:8" ht="13" customHeight="1">
      <c r="A5" s="738"/>
      <c r="B5" s="738"/>
      <c r="C5" s="738"/>
      <c r="D5" s="739"/>
    </row>
    <row r="6" spans="1:8" ht="13" customHeight="1">
      <c r="A6" s="738"/>
      <c r="B6" s="738"/>
      <c r="C6" s="738"/>
      <c r="D6" s="739"/>
      <c r="F6" s="28"/>
      <c r="G6" s="28"/>
    </row>
    <row r="7" spans="1:8" ht="13" customHeight="1">
      <c r="A7" s="738"/>
      <c r="B7" s="738"/>
      <c r="C7" s="738"/>
      <c r="D7" s="739"/>
      <c r="E7" s="33"/>
      <c r="F7" s="734" t="s">
        <v>80</v>
      </c>
      <c r="G7" s="734"/>
      <c r="H7" s="29"/>
    </row>
    <row r="8" spans="1:8" ht="13" customHeight="1">
      <c r="A8" s="740"/>
      <c r="B8" s="740"/>
      <c r="C8" s="740"/>
      <c r="D8" s="741"/>
      <c r="E8" s="33"/>
      <c r="F8" s="734"/>
      <c r="G8" s="734"/>
      <c r="H8" s="29"/>
    </row>
    <row r="9" spans="1:8" ht="21">
      <c r="A9" s="85"/>
      <c r="B9" s="78"/>
      <c r="C9" s="78"/>
      <c r="D9" s="79"/>
      <c r="F9" s="32"/>
      <c r="G9" s="32"/>
    </row>
    <row r="10" spans="1:8" ht="68" customHeight="1">
      <c r="A10" s="65" t="s">
        <v>2</v>
      </c>
      <c r="B10" s="65" t="s">
        <v>81</v>
      </c>
      <c r="C10" s="65" t="s">
        <v>41</v>
      </c>
      <c r="D10" s="65" t="s">
        <v>39</v>
      </c>
      <c r="F10" s="32"/>
    </row>
    <row r="11" spans="1:8" ht="20" customHeight="1">
      <c r="A11" s="58">
        <v>1</v>
      </c>
      <c r="B11" s="59" t="s">
        <v>110</v>
      </c>
      <c r="C11" s="60"/>
      <c r="D11" s="61">
        <v>1000000</v>
      </c>
      <c r="F11" s="32"/>
    </row>
    <row r="12" spans="1:8" ht="20" customHeight="1">
      <c r="A12" s="58">
        <v>2</v>
      </c>
      <c r="B12" s="62" t="s">
        <v>111</v>
      </c>
      <c r="C12" s="60"/>
      <c r="D12" s="61">
        <v>1000000</v>
      </c>
      <c r="F12" s="32"/>
    </row>
    <row r="13" spans="1:8" ht="20" customHeight="1">
      <c r="A13" s="58">
        <v>3</v>
      </c>
      <c r="B13" s="62" t="s">
        <v>132</v>
      </c>
      <c r="C13" s="60"/>
      <c r="D13" s="61">
        <v>1000000</v>
      </c>
      <c r="F13" s="32"/>
    </row>
    <row r="14" spans="1:8" ht="20" customHeight="1">
      <c r="A14" s="58"/>
      <c r="B14" s="119"/>
      <c r="C14" s="73"/>
      <c r="D14" s="101"/>
      <c r="F14" s="32"/>
    </row>
    <row r="15" spans="1:8" ht="20" customHeight="1">
      <c r="A15" s="58"/>
      <c r="B15" s="62"/>
      <c r="C15" s="60"/>
      <c r="D15" s="61"/>
      <c r="F15" s="32"/>
    </row>
    <row r="16" spans="1:8" ht="20" customHeight="1">
      <c r="A16" s="28"/>
      <c r="B16" s="28"/>
      <c r="C16" s="28"/>
      <c r="D16" s="120">
        <f>SUM(D11:D15)</f>
        <v>3000000</v>
      </c>
      <c r="E16" s="189"/>
      <c r="F16" s="32"/>
    </row>
    <row r="17" spans="1:80" s="28" customFormat="1" ht="20" customHeight="1">
      <c r="F17" s="63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</row>
    <row r="18" spans="1:80" s="28" customFormat="1" ht="25" customHeight="1">
      <c r="B18" s="80" t="s">
        <v>55</v>
      </c>
      <c r="C18" s="381">
        <f>SUM(C20:C34)</f>
        <v>1062421.3799999999</v>
      </c>
      <c r="I18" s="80" t="s">
        <v>56</v>
      </c>
      <c r="J18" s="381">
        <f>SUM(J20:J34)</f>
        <v>1062421.3799999999</v>
      </c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</row>
    <row r="19" spans="1:80" s="70" customFormat="1" ht="25" customHeight="1">
      <c r="A19" s="86" t="s">
        <v>54</v>
      </c>
      <c r="B19" s="66" t="s">
        <v>43</v>
      </c>
      <c r="C19" s="67" t="s">
        <v>44</v>
      </c>
      <c r="D19" s="67" t="s">
        <v>45</v>
      </c>
      <c r="E19" s="67" t="s">
        <v>46</v>
      </c>
      <c r="F19" s="67" t="s">
        <v>47</v>
      </c>
      <c r="G19" s="68" t="s">
        <v>48</v>
      </c>
      <c r="H19" s="68" t="s">
        <v>49</v>
      </c>
      <c r="I19" s="68" t="s">
        <v>50</v>
      </c>
      <c r="J19" s="68" t="s">
        <v>51</v>
      </c>
      <c r="K19" s="68" t="s">
        <v>52</v>
      </c>
      <c r="L19" s="68" t="s">
        <v>53</v>
      </c>
      <c r="M19" s="29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</row>
    <row r="20" spans="1:80" s="72" customFormat="1" ht="16">
      <c r="A20" s="69"/>
      <c r="B20" s="393"/>
      <c r="C20" s="392">
        <v>472187.28</v>
      </c>
      <c r="D20" s="356">
        <f>C20*0.19</f>
        <v>89715.583200000008</v>
      </c>
      <c r="E20" s="390">
        <f>C20+D20</f>
        <v>561902.86320000002</v>
      </c>
      <c r="F20" s="73"/>
      <c r="G20" s="119" t="s">
        <v>111</v>
      </c>
      <c r="H20" s="75"/>
      <c r="I20" s="76"/>
      <c r="J20" s="392">
        <v>472187.28</v>
      </c>
      <c r="K20" s="390">
        <f>I20+J20</f>
        <v>472187.28</v>
      </c>
      <c r="L20" s="77"/>
      <c r="M20" s="29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</row>
    <row r="21" spans="1:80" s="72" customFormat="1" ht="16">
      <c r="A21" s="69"/>
      <c r="B21" s="393"/>
      <c r="C21" s="392">
        <v>590234.1</v>
      </c>
      <c r="D21" s="356">
        <f t="shared" ref="D21:D33" si="0">C21*0.19</f>
        <v>112144.47899999999</v>
      </c>
      <c r="E21" s="390">
        <f t="shared" ref="E21:E33" si="1">C21+D21</f>
        <v>702378.57899999991</v>
      </c>
      <c r="F21" s="73"/>
      <c r="G21" s="179" t="s">
        <v>110</v>
      </c>
      <c r="H21" s="74"/>
      <c r="I21" s="74"/>
      <c r="J21" s="392">
        <v>590234.1</v>
      </c>
      <c r="K21" s="390">
        <f t="shared" ref="K21:K33" si="2">I21+J21</f>
        <v>590234.1</v>
      </c>
      <c r="L21" s="74"/>
      <c r="M21" s="29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</row>
    <row r="22" spans="1:80" s="72" customFormat="1" ht="16">
      <c r="A22" s="69"/>
      <c r="B22" s="393"/>
      <c r="C22" s="392"/>
      <c r="D22" s="356">
        <f t="shared" si="0"/>
        <v>0</v>
      </c>
      <c r="E22" s="390">
        <f t="shared" si="1"/>
        <v>0</v>
      </c>
      <c r="F22" s="73"/>
      <c r="G22" s="179"/>
      <c r="H22" s="74"/>
      <c r="I22" s="74"/>
      <c r="J22" s="356">
        <f t="shared" ref="J22:J33" si="3">I22*0.19</f>
        <v>0</v>
      </c>
      <c r="K22" s="390">
        <f t="shared" si="2"/>
        <v>0</v>
      </c>
      <c r="L22" s="74"/>
      <c r="M22" s="29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</row>
    <row r="23" spans="1:80" s="72" customFormat="1" ht="16">
      <c r="A23" s="69"/>
      <c r="B23" s="393"/>
      <c r="C23" s="392"/>
      <c r="D23" s="356">
        <f t="shared" si="0"/>
        <v>0</v>
      </c>
      <c r="E23" s="390">
        <f t="shared" si="1"/>
        <v>0</v>
      </c>
      <c r="F23" s="73"/>
      <c r="G23" s="73"/>
      <c r="H23" s="74"/>
      <c r="I23" s="74"/>
      <c r="J23" s="356">
        <f t="shared" si="3"/>
        <v>0</v>
      </c>
      <c r="K23" s="390">
        <f t="shared" si="2"/>
        <v>0</v>
      </c>
      <c r="L23" s="74"/>
      <c r="M23" s="29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</row>
    <row r="24" spans="1:80" s="72" customFormat="1" ht="16">
      <c r="A24" s="69"/>
      <c r="B24" s="393"/>
      <c r="C24" s="392"/>
      <c r="D24" s="356">
        <f t="shared" si="0"/>
        <v>0</v>
      </c>
      <c r="E24" s="390">
        <f t="shared" si="1"/>
        <v>0</v>
      </c>
      <c r="F24" s="73"/>
      <c r="G24" s="73"/>
      <c r="H24" s="74"/>
      <c r="I24" s="74"/>
      <c r="J24" s="356">
        <f t="shared" si="3"/>
        <v>0</v>
      </c>
      <c r="K24" s="390">
        <f t="shared" si="2"/>
        <v>0</v>
      </c>
      <c r="L24" s="74"/>
      <c r="M24" s="29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</row>
    <row r="25" spans="1:80" s="72" customFormat="1" ht="16">
      <c r="A25" s="69"/>
      <c r="B25" s="73"/>
      <c r="C25" s="392"/>
      <c r="D25" s="356">
        <f t="shared" si="0"/>
        <v>0</v>
      </c>
      <c r="E25" s="390">
        <f t="shared" si="1"/>
        <v>0</v>
      </c>
      <c r="F25" s="73"/>
      <c r="G25" s="73"/>
      <c r="H25" s="74"/>
      <c r="I25" s="74"/>
      <c r="J25" s="356">
        <f t="shared" si="3"/>
        <v>0</v>
      </c>
      <c r="K25" s="390">
        <f t="shared" si="2"/>
        <v>0</v>
      </c>
      <c r="L25" s="74"/>
      <c r="M25" s="29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</row>
    <row r="26" spans="1:80" s="72" customFormat="1" ht="16">
      <c r="A26" s="69"/>
      <c r="B26" s="73"/>
      <c r="C26" s="392"/>
      <c r="D26" s="356">
        <f t="shared" si="0"/>
        <v>0</v>
      </c>
      <c r="E26" s="390">
        <f t="shared" si="1"/>
        <v>0</v>
      </c>
      <c r="F26" s="73"/>
      <c r="G26" s="73"/>
      <c r="H26" s="74"/>
      <c r="I26" s="74"/>
      <c r="J26" s="356">
        <f t="shared" si="3"/>
        <v>0</v>
      </c>
      <c r="K26" s="390">
        <f t="shared" si="2"/>
        <v>0</v>
      </c>
      <c r="L26" s="74"/>
      <c r="M26" s="29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</row>
    <row r="27" spans="1:80" s="72" customFormat="1" ht="16">
      <c r="A27" s="69"/>
      <c r="B27" s="73"/>
      <c r="C27" s="392"/>
      <c r="D27" s="356">
        <f t="shared" si="0"/>
        <v>0</v>
      </c>
      <c r="E27" s="390">
        <f t="shared" si="1"/>
        <v>0</v>
      </c>
      <c r="F27" s="73"/>
      <c r="G27" s="73"/>
      <c r="H27" s="74"/>
      <c r="I27" s="74"/>
      <c r="J27" s="356">
        <f t="shared" si="3"/>
        <v>0</v>
      </c>
      <c r="K27" s="390">
        <f t="shared" si="2"/>
        <v>0</v>
      </c>
      <c r="L27" s="74"/>
      <c r="M27" s="29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</row>
    <row r="28" spans="1:80" s="72" customFormat="1" ht="16">
      <c r="A28" s="69"/>
      <c r="B28" s="73"/>
      <c r="C28" s="392"/>
      <c r="D28" s="356">
        <f t="shared" si="0"/>
        <v>0</v>
      </c>
      <c r="E28" s="390">
        <f t="shared" si="1"/>
        <v>0</v>
      </c>
      <c r="F28" s="73"/>
      <c r="G28" s="73"/>
      <c r="H28" s="74"/>
      <c r="I28" s="74"/>
      <c r="J28" s="356">
        <f t="shared" si="3"/>
        <v>0</v>
      </c>
      <c r="K28" s="390">
        <f t="shared" si="2"/>
        <v>0</v>
      </c>
      <c r="L28" s="74"/>
      <c r="M28" s="29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</row>
    <row r="29" spans="1:80" s="72" customFormat="1" ht="16">
      <c r="A29" s="69"/>
      <c r="B29" s="73"/>
      <c r="C29" s="392"/>
      <c r="D29" s="356">
        <f t="shared" si="0"/>
        <v>0</v>
      </c>
      <c r="E29" s="390">
        <f t="shared" si="1"/>
        <v>0</v>
      </c>
      <c r="F29" s="73"/>
      <c r="G29" s="73"/>
      <c r="H29" s="74"/>
      <c r="I29" s="74"/>
      <c r="J29" s="356">
        <f t="shared" si="3"/>
        <v>0</v>
      </c>
      <c r="K29" s="390">
        <f t="shared" si="2"/>
        <v>0</v>
      </c>
      <c r="L29" s="74"/>
      <c r="M29" s="29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</row>
    <row r="30" spans="1:80" s="72" customFormat="1" ht="16">
      <c r="A30" s="69"/>
      <c r="B30" s="73"/>
      <c r="C30" s="73"/>
      <c r="D30" s="356">
        <f t="shared" si="0"/>
        <v>0</v>
      </c>
      <c r="E30" s="390">
        <f t="shared" si="1"/>
        <v>0</v>
      </c>
      <c r="F30" s="73"/>
      <c r="G30" s="73"/>
      <c r="H30" s="74"/>
      <c r="I30" s="74"/>
      <c r="J30" s="356">
        <f t="shared" si="3"/>
        <v>0</v>
      </c>
      <c r="K30" s="390">
        <f t="shared" si="2"/>
        <v>0</v>
      </c>
      <c r="L30" s="74"/>
      <c r="M30" s="29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</row>
    <row r="31" spans="1:80" s="72" customFormat="1" ht="16">
      <c r="A31" s="69"/>
      <c r="B31" s="73"/>
      <c r="C31" s="73"/>
      <c r="D31" s="356">
        <f t="shared" si="0"/>
        <v>0</v>
      </c>
      <c r="E31" s="390">
        <f t="shared" si="1"/>
        <v>0</v>
      </c>
      <c r="F31" s="73"/>
      <c r="G31" s="73"/>
      <c r="H31" s="74"/>
      <c r="I31" s="74"/>
      <c r="J31" s="356">
        <f t="shared" si="3"/>
        <v>0</v>
      </c>
      <c r="K31" s="390">
        <f t="shared" si="2"/>
        <v>0</v>
      </c>
      <c r="L31" s="74"/>
      <c r="M31" s="29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</row>
    <row r="32" spans="1:80" s="72" customFormat="1" ht="16">
      <c r="A32" s="69"/>
      <c r="B32" s="73"/>
      <c r="C32" s="73"/>
      <c r="D32" s="356">
        <f t="shared" si="0"/>
        <v>0</v>
      </c>
      <c r="E32" s="390">
        <f t="shared" si="1"/>
        <v>0</v>
      </c>
      <c r="F32" s="73"/>
      <c r="G32" s="73"/>
      <c r="H32" s="74"/>
      <c r="I32" s="74"/>
      <c r="J32" s="356">
        <f t="shared" si="3"/>
        <v>0</v>
      </c>
      <c r="K32" s="390">
        <f t="shared" si="2"/>
        <v>0</v>
      </c>
      <c r="L32" s="74"/>
      <c r="M32" s="29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</row>
    <row r="33" spans="1:80" s="72" customFormat="1" ht="16">
      <c r="A33" s="69"/>
      <c r="B33" s="73"/>
      <c r="C33" s="73"/>
      <c r="D33" s="356">
        <f t="shared" si="0"/>
        <v>0</v>
      </c>
      <c r="E33" s="390">
        <f t="shared" si="1"/>
        <v>0</v>
      </c>
      <c r="F33" s="73"/>
      <c r="G33" s="73"/>
      <c r="H33" s="74"/>
      <c r="I33" s="74"/>
      <c r="J33" s="356">
        <f t="shared" si="3"/>
        <v>0</v>
      </c>
      <c r="K33" s="390">
        <f t="shared" si="2"/>
        <v>0</v>
      </c>
      <c r="L33" s="74"/>
      <c r="M33" s="29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</row>
    <row r="34" spans="1:80" s="72" customFormat="1">
      <c r="A34" s="87"/>
      <c r="B34" s="82"/>
      <c r="C34" s="82"/>
      <c r="D34" s="82"/>
      <c r="E34" s="82"/>
      <c r="F34" s="82"/>
      <c r="G34" s="83"/>
      <c r="H34" s="84"/>
      <c r="I34" s="84"/>
      <c r="J34" s="84"/>
      <c r="K34" s="84"/>
      <c r="L34" s="84"/>
      <c r="M34" s="29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</row>
    <row r="35" spans="1:80" s="71" customFormat="1"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</row>
  </sheetData>
  <mergeCells count="3">
    <mergeCell ref="A1:D8"/>
    <mergeCell ref="F2:G3"/>
    <mergeCell ref="F7:G8"/>
  </mergeCells>
  <dataValidations disablePrompts="1" count="1">
    <dataValidation type="list" allowBlank="1" showInputMessage="1" showErrorMessage="1" sqref="F20:F21 F23" xr:uid="{00000000-0002-0000-0800-000000000000}">
      <formula1>"MATERIALES,ARRIENDOS,ART. DE OFICINA,IMP. DE SEGURIDAD,MANT. EXTINTORES,GASTOS LEGALES,ROPA DE TRABAJO,IMPRENTA,OTROS ARRIENDOS,COLACIÓN,MANT. VEHICULOS,FLETES,ACTIVO FIJO,ARRIENDO DISPENSADOR"</formula1>
    </dataValidation>
  </dataValidations>
  <hyperlinks>
    <hyperlink ref="A20:A32" r:id="rId1" display="..\..\..\COMPRAS\MM construccion\Ordenes de compra\OC 2019\Centros de Costos 2019\Alvi El Bosque\OC 537 YOLITO BALART HERMANOS LIMITADA\OC 537 2019.xlsx" xr:uid="{00000000-0004-0000-0800-000000000000}"/>
    <hyperlink ref="A13:A16" r:id="rId2" display="..\..\..\COMPRAS\MM construccion\Ordenes de compra\OC 2019\Centros de Costos 2019\Alvi El Bosque\OC 537 YOLITO BALART HERMANOS LIMITADA\OC 537 2019.xlsx" xr:uid="{00000000-0004-0000-0800-000001000000}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CB38"/>
  <sheetViews>
    <sheetView topLeftCell="A10" zoomScaleNormal="100" workbookViewId="0">
      <selection activeCell="D11" sqref="D11"/>
    </sheetView>
  </sheetViews>
  <sheetFormatPr baseColWidth="10" defaultColWidth="10.83203125" defaultRowHeight="13"/>
  <cols>
    <col min="1" max="1" width="10.83203125" style="22"/>
    <col min="2" max="2" width="15.83203125" style="22" customWidth="1"/>
    <col min="3" max="3" width="15.83203125" style="201" customWidth="1"/>
    <col min="4" max="5" width="15.83203125" style="22" customWidth="1"/>
    <col min="6" max="6" width="19.6640625" style="22" customWidth="1"/>
    <col min="7" max="7" width="35.83203125" style="22" customWidth="1"/>
    <col min="8" max="12" width="15.83203125" style="22" customWidth="1"/>
    <col min="13" max="16384" width="10.83203125" style="22"/>
  </cols>
  <sheetData>
    <row r="1" spans="1:8" ht="13" customHeight="1">
      <c r="A1" s="736"/>
      <c r="B1" s="736"/>
      <c r="C1" s="736"/>
      <c r="D1" s="737"/>
      <c r="F1" s="28"/>
      <c r="G1" s="28"/>
    </row>
    <row r="2" spans="1:8" ht="13" customHeight="1">
      <c r="A2" s="738"/>
      <c r="B2" s="738"/>
      <c r="C2" s="738"/>
      <c r="D2" s="739"/>
      <c r="E2" s="33"/>
      <c r="F2" s="735" t="s">
        <v>58</v>
      </c>
      <c r="G2" s="735"/>
      <c r="H2" s="29"/>
    </row>
    <row r="3" spans="1:8" ht="13" customHeight="1">
      <c r="A3" s="738"/>
      <c r="B3" s="738"/>
      <c r="C3" s="738"/>
      <c r="D3" s="739"/>
      <c r="E3" s="33"/>
      <c r="F3" s="735"/>
      <c r="G3" s="735"/>
      <c r="H3" s="29"/>
    </row>
    <row r="4" spans="1:8" ht="13" customHeight="1">
      <c r="A4" s="738"/>
      <c r="B4" s="738"/>
      <c r="C4" s="738"/>
      <c r="D4" s="739"/>
      <c r="F4" s="32"/>
      <c r="G4" s="32"/>
    </row>
    <row r="5" spans="1:8" ht="13" customHeight="1">
      <c r="A5" s="738"/>
      <c r="B5" s="738"/>
      <c r="C5" s="738"/>
      <c r="D5" s="739"/>
    </row>
    <row r="6" spans="1:8" ht="13" customHeight="1">
      <c r="A6" s="738"/>
      <c r="B6" s="738"/>
      <c r="C6" s="738"/>
      <c r="D6" s="739"/>
      <c r="G6" s="28"/>
    </row>
    <row r="7" spans="1:8" ht="13" customHeight="1">
      <c r="A7" s="738"/>
      <c r="B7" s="738"/>
      <c r="C7" s="738"/>
      <c r="D7" s="739"/>
      <c r="F7" s="32"/>
    </row>
    <row r="8" spans="1:8" ht="13" customHeight="1">
      <c r="A8" s="740"/>
      <c r="B8" s="740"/>
      <c r="C8" s="740"/>
      <c r="D8" s="741"/>
      <c r="F8" s="32"/>
    </row>
    <row r="9" spans="1:8" ht="21">
      <c r="A9" s="85"/>
      <c r="B9" s="78"/>
      <c r="C9" s="222"/>
      <c r="D9" s="79"/>
      <c r="F9" s="32"/>
    </row>
    <row r="10" spans="1:8" ht="68" customHeight="1">
      <c r="A10" s="65" t="s">
        <v>2</v>
      </c>
      <c r="B10" s="65" t="s">
        <v>81</v>
      </c>
      <c r="C10" s="214" t="s">
        <v>41</v>
      </c>
      <c r="D10" s="65" t="s">
        <v>39</v>
      </c>
      <c r="F10" s="32"/>
    </row>
    <row r="11" spans="1:8" ht="20" customHeight="1">
      <c r="A11" s="333">
        <v>1</v>
      </c>
      <c r="B11" s="334" t="s">
        <v>124</v>
      </c>
      <c r="C11" s="60"/>
      <c r="D11" s="61">
        <v>100000</v>
      </c>
      <c r="F11" s="32"/>
    </row>
    <row r="12" spans="1:8" ht="20" customHeight="1">
      <c r="A12" s="333">
        <v>2</v>
      </c>
      <c r="B12" s="119"/>
      <c r="C12" s="60"/>
      <c r="D12" s="61"/>
      <c r="F12" s="32"/>
    </row>
    <row r="13" spans="1:8" ht="20" customHeight="1">
      <c r="A13" s="333">
        <v>3</v>
      </c>
      <c r="B13" s="62"/>
      <c r="C13" s="60"/>
      <c r="D13" s="61"/>
      <c r="F13" s="32"/>
    </row>
    <row r="14" spans="1:8" ht="20" customHeight="1">
      <c r="A14" s="58"/>
      <c r="B14" s="119"/>
      <c r="C14" s="217"/>
      <c r="D14" s="101"/>
      <c r="F14" s="32"/>
    </row>
    <row r="15" spans="1:8" ht="20" customHeight="1">
      <c r="A15" s="58"/>
      <c r="B15" s="62"/>
      <c r="C15" s="223"/>
      <c r="D15" s="61"/>
      <c r="F15" s="32"/>
    </row>
    <row r="16" spans="1:8" ht="20" customHeight="1">
      <c r="A16" s="28"/>
      <c r="B16" s="28"/>
      <c r="C16" s="215"/>
      <c r="D16" s="120">
        <f>SUM(D11:D15)</f>
        <v>100000</v>
      </c>
      <c r="E16" s="189">
        <f>D16/37500</f>
        <v>2.6666666666666665</v>
      </c>
      <c r="F16" s="32"/>
    </row>
    <row r="17" spans="1:80" s="28" customFormat="1">
      <c r="C17" s="215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</row>
    <row r="18" spans="1:80" s="28" customFormat="1">
      <c r="C18" s="215"/>
      <c r="F18" s="734" t="s">
        <v>83</v>
      </c>
      <c r="G18" s="734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</row>
    <row r="19" spans="1:80" s="28" customFormat="1" ht="14">
      <c r="C19" s="215"/>
      <c r="F19" s="734"/>
      <c r="G19" s="734"/>
      <c r="J19" s="123" t="s">
        <v>38</v>
      </c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</row>
    <row r="20" spans="1:80" s="28" customFormat="1" ht="25" customHeight="1">
      <c r="B20" s="80" t="s">
        <v>55</v>
      </c>
      <c r="C20" s="81">
        <f>SUM(C22:C37)</f>
        <v>0</v>
      </c>
      <c r="I20" s="80" t="s">
        <v>56</v>
      </c>
      <c r="J20" s="81">
        <f>SUM(J22:J37)</f>
        <v>0</v>
      </c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</row>
    <row r="21" spans="1:80" s="70" customFormat="1" ht="25" customHeight="1">
      <c r="A21" s="86" t="s">
        <v>54</v>
      </c>
      <c r="B21" s="66" t="s">
        <v>43</v>
      </c>
      <c r="C21" s="216" t="s">
        <v>44</v>
      </c>
      <c r="D21" s="67" t="s">
        <v>45</v>
      </c>
      <c r="E21" s="67" t="s">
        <v>46</v>
      </c>
      <c r="F21" s="67" t="s">
        <v>48</v>
      </c>
      <c r="G21" s="67" t="s">
        <v>47</v>
      </c>
      <c r="H21" s="68" t="s">
        <v>49</v>
      </c>
      <c r="I21" s="68" t="s">
        <v>50</v>
      </c>
      <c r="J21" s="68" t="s">
        <v>51</v>
      </c>
      <c r="K21" s="68" t="s">
        <v>52</v>
      </c>
      <c r="L21" s="68" t="s">
        <v>53</v>
      </c>
      <c r="M21" s="29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</row>
    <row r="22" spans="1:80" s="72" customFormat="1">
      <c r="A22" s="230"/>
      <c r="B22" s="221"/>
      <c r="C22" s="217"/>
      <c r="D22" s="217">
        <f t="shared" ref="D22:D36" si="0">+C22*0.19</f>
        <v>0</v>
      </c>
      <c r="E22" s="217">
        <f t="shared" ref="E22:E36" si="1">+D22+C22</f>
        <v>0</v>
      </c>
      <c r="F22" s="73"/>
      <c r="G22" s="73"/>
      <c r="H22" s="74"/>
      <c r="I22" s="74"/>
      <c r="J22" s="74"/>
      <c r="K22" s="239">
        <f t="shared" ref="K22:K25" si="2">+J22*0.19</f>
        <v>0</v>
      </c>
      <c r="L22" s="239">
        <f t="shared" ref="L22:L25" si="3">+K22+J22</f>
        <v>0</v>
      </c>
      <c r="M22" s="29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</row>
    <row r="23" spans="1:80" s="72" customFormat="1">
      <c r="A23" s="230"/>
      <c r="B23" s="221"/>
      <c r="C23" s="217"/>
      <c r="D23" s="217">
        <f t="shared" si="0"/>
        <v>0</v>
      </c>
      <c r="E23" s="217">
        <f t="shared" si="1"/>
        <v>0</v>
      </c>
      <c r="F23" s="73"/>
      <c r="G23" s="73"/>
      <c r="H23" s="74"/>
      <c r="I23" s="74"/>
      <c r="J23" s="74"/>
      <c r="K23" s="239">
        <f t="shared" si="2"/>
        <v>0</v>
      </c>
      <c r="L23" s="239">
        <f t="shared" si="3"/>
        <v>0</v>
      </c>
      <c r="M23" s="29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</row>
    <row r="24" spans="1:80" s="72" customFormat="1">
      <c r="A24" s="230"/>
      <c r="B24" s="221"/>
      <c r="C24" s="217"/>
      <c r="D24" s="217">
        <f t="shared" si="0"/>
        <v>0</v>
      </c>
      <c r="E24" s="217">
        <f t="shared" si="1"/>
        <v>0</v>
      </c>
      <c r="F24" s="73"/>
      <c r="G24" s="73"/>
      <c r="H24" s="74"/>
      <c r="I24" s="74"/>
      <c r="J24" s="74"/>
      <c r="K24" s="239">
        <f t="shared" si="2"/>
        <v>0</v>
      </c>
      <c r="L24" s="239">
        <f t="shared" si="3"/>
        <v>0</v>
      </c>
      <c r="M24" s="29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</row>
    <row r="25" spans="1:80" s="72" customFormat="1">
      <c r="A25" s="230"/>
      <c r="B25" s="221"/>
      <c r="C25" s="217"/>
      <c r="D25" s="217">
        <f t="shared" si="0"/>
        <v>0</v>
      </c>
      <c r="E25" s="217">
        <f t="shared" si="1"/>
        <v>0</v>
      </c>
      <c r="F25" s="73"/>
      <c r="G25" s="73"/>
      <c r="H25" s="74"/>
      <c r="I25" s="74"/>
      <c r="J25" s="74"/>
      <c r="K25" s="239">
        <f t="shared" si="2"/>
        <v>0</v>
      </c>
      <c r="L25" s="239">
        <f t="shared" si="3"/>
        <v>0</v>
      </c>
      <c r="M25" s="29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</row>
    <row r="26" spans="1:80" s="72" customFormat="1">
      <c r="A26" s="230"/>
      <c r="B26" s="221"/>
      <c r="C26" s="217"/>
      <c r="D26" s="217">
        <f t="shared" si="0"/>
        <v>0</v>
      </c>
      <c r="E26" s="217">
        <f t="shared" si="1"/>
        <v>0</v>
      </c>
      <c r="F26" s="73"/>
      <c r="G26" s="73"/>
      <c r="H26" s="74"/>
      <c r="I26" s="74"/>
      <c r="J26" s="74"/>
      <c r="K26" s="239">
        <f t="shared" ref="K26:K36" si="4">+J26*0.19</f>
        <v>0</v>
      </c>
      <c r="L26" s="239">
        <f t="shared" ref="L26:L36" si="5">+K26+J26</f>
        <v>0</v>
      </c>
      <c r="M26" s="29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</row>
    <row r="27" spans="1:80" s="72" customFormat="1">
      <c r="A27" s="230"/>
      <c r="B27" s="221"/>
      <c r="C27" s="217"/>
      <c r="D27" s="217">
        <f t="shared" si="0"/>
        <v>0</v>
      </c>
      <c r="E27" s="217">
        <f t="shared" si="1"/>
        <v>0</v>
      </c>
      <c r="F27" s="73"/>
      <c r="G27" s="73"/>
      <c r="H27" s="74"/>
      <c r="I27" s="74"/>
      <c r="J27" s="74"/>
      <c r="K27" s="239">
        <f t="shared" si="4"/>
        <v>0</v>
      </c>
      <c r="L27" s="239">
        <f t="shared" si="5"/>
        <v>0</v>
      </c>
      <c r="M27" s="29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</row>
    <row r="28" spans="1:80" s="72" customFormat="1">
      <c r="A28" s="230"/>
      <c r="B28" s="221"/>
      <c r="C28" s="217"/>
      <c r="D28" s="217">
        <f t="shared" si="0"/>
        <v>0</v>
      </c>
      <c r="E28" s="217">
        <f t="shared" si="1"/>
        <v>0</v>
      </c>
      <c r="F28" s="73"/>
      <c r="G28" s="73"/>
      <c r="H28" s="74"/>
      <c r="I28" s="74"/>
      <c r="J28" s="74"/>
      <c r="K28" s="239">
        <f t="shared" si="4"/>
        <v>0</v>
      </c>
      <c r="L28" s="239">
        <f t="shared" si="5"/>
        <v>0</v>
      </c>
      <c r="M28" s="29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</row>
    <row r="29" spans="1:80" s="72" customFormat="1">
      <c r="A29" s="230"/>
      <c r="B29" s="221"/>
      <c r="C29" s="217"/>
      <c r="D29" s="217">
        <f t="shared" si="0"/>
        <v>0</v>
      </c>
      <c r="E29" s="217">
        <f t="shared" si="1"/>
        <v>0</v>
      </c>
      <c r="F29" s="73"/>
      <c r="G29" s="73"/>
      <c r="H29" s="74"/>
      <c r="I29" s="74"/>
      <c r="J29" s="74"/>
      <c r="K29" s="239">
        <f t="shared" si="4"/>
        <v>0</v>
      </c>
      <c r="L29" s="239">
        <f t="shared" si="5"/>
        <v>0</v>
      </c>
      <c r="M29" s="29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</row>
    <row r="30" spans="1:80" s="72" customFormat="1">
      <c r="A30" s="230"/>
      <c r="B30" s="221"/>
      <c r="C30" s="217"/>
      <c r="D30" s="217">
        <f t="shared" si="0"/>
        <v>0</v>
      </c>
      <c r="E30" s="217">
        <f t="shared" si="1"/>
        <v>0</v>
      </c>
      <c r="F30" s="73"/>
      <c r="G30" s="73"/>
      <c r="H30" s="74"/>
      <c r="I30" s="74"/>
      <c r="J30" s="74"/>
      <c r="K30" s="239">
        <f t="shared" si="4"/>
        <v>0</v>
      </c>
      <c r="L30" s="239">
        <f t="shared" si="5"/>
        <v>0</v>
      </c>
      <c r="M30" s="29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</row>
    <row r="31" spans="1:80" s="72" customFormat="1">
      <c r="A31" s="230"/>
      <c r="B31" s="221"/>
      <c r="C31" s="217"/>
      <c r="D31" s="217">
        <f t="shared" si="0"/>
        <v>0</v>
      </c>
      <c r="E31" s="217">
        <f t="shared" si="1"/>
        <v>0</v>
      </c>
      <c r="F31" s="73"/>
      <c r="G31" s="73"/>
      <c r="H31" s="74"/>
      <c r="I31" s="74"/>
      <c r="J31" s="74"/>
      <c r="K31" s="239">
        <f t="shared" si="4"/>
        <v>0</v>
      </c>
      <c r="L31" s="239">
        <f t="shared" si="5"/>
        <v>0</v>
      </c>
      <c r="M31" s="29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</row>
    <row r="32" spans="1:80" s="72" customFormat="1">
      <c r="A32" s="230"/>
      <c r="B32" s="221"/>
      <c r="C32" s="217"/>
      <c r="D32" s="217">
        <f t="shared" si="0"/>
        <v>0</v>
      </c>
      <c r="E32" s="217">
        <f t="shared" si="1"/>
        <v>0</v>
      </c>
      <c r="F32" s="73"/>
      <c r="G32" s="73"/>
      <c r="H32" s="74"/>
      <c r="I32" s="74"/>
      <c r="J32" s="74"/>
      <c r="K32" s="239">
        <f t="shared" si="4"/>
        <v>0</v>
      </c>
      <c r="L32" s="239">
        <f t="shared" si="5"/>
        <v>0</v>
      </c>
      <c r="M32" s="29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</row>
    <row r="33" spans="1:80" s="72" customFormat="1">
      <c r="A33" s="230"/>
      <c r="B33" s="221"/>
      <c r="C33" s="217"/>
      <c r="D33" s="217">
        <f t="shared" si="0"/>
        <v>0</v>
      </c>
      <c r="E33" s="217">
        <f t="shared" si="1"/>
        <v>0</v>
      </c>
      <c r="F33" s="73"/>
      <c r="G33" s="73"/>
      <c r="H33" s="74"/>
      <c r="I33" s="74"/>
      <c r="J33" s="74"/>
      <c r="K33" s="239">
        <f t="shared" si="4"/>
        <v>0</v>
      </c>
      <c r="L33" s="239">
        <f t="shared" si="5"/>
        <v>0</v>
      </c>
      <c r="M33" s="29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</row>
    <row r="34" spans="1:80" s="72" customFormat="1">
      <c r="A34" s="230"/>
      <c r="B34" s="221"/>
      <c r="C34" s="217"/>
      <c r="D34" s="217">
        <f t="shared" si="0"/>
        <v>0</v>
      </c>
      <c r="E34" s="217">
        <f t="shared" si="1"/>
        <v>0</v>
      </c>
      <c r="F34" s="73"/>
      <c r="G34" s="73"/>
      <c r="H34" s="74"/>
      <c r="I34" s="74"/>
      <c r="J34" s="74"/>
      <c r="K34" s="239">
        <f t="shared" si="4"/>
        <v>0</v>
      </c>
      <c r="L34" s="239">
        <f t="shared" si="5"/>
        <v>0</v>
      </c>
      <c r="M34" s="29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</row>
    <row r="35" spans="1:80" s="72" customFormat="1">
      <c r="A35" s="230"/>
      <c r="B35" s="221"/>
      <c r="C35" s="217"/>
      <c r="D35" s="217">
        <f t="shared" si="0"/>
        <v>0</v>
      </c>
      <c r="E35" s="217">
        <f t="shared" si="1"/>
        <v>0</v>
      </c>
      <c r="F35" s="73"/>
      <c r="G35" s="73"/>
      <c r="H35" s="74"/>
      <c r="I35" s="74"/>
      <c r="J35" s="74"/>
      <c r="K35" s="239">
        <f t="shared" si="4"/>
        <v>0</v>
      </c>
      <c r="L35" s="239">
        <f t="shared" si="5"/>
        <v>0</v>
      </c>
      <c r="M35" s="29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</row>
    <row r="36" spans="1:80" s="72" customFormat="1">
      <c r="A36" s="230"/>
      <c r="B36" s="221"/>
      <c r="C36" s="217"/>
      <c r="D36" s="217">
        <f t="shared" si="0"/>
        <v>0</v>
      </c>
      <c r="E36" s="217">
        <f t="shared" si="1"/>
        <v>0</v>
      </c>
      <c r="F36" s="73"/>
      <c r="G36" s="73"/>
      <c r="H36" s="74"/>
      <c r="I36" s="74"/>
      <c r="J36" s="74"/>
      <c r="K36" s="239">
        <f t="shared" si="4"/>
        <v>0</v>
      </c>
      <c r="L36" s="239">
        <f t="shared" si="5"/>
        <v>0</v>
      </c>
      <c r="M36" s="29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</row>
    <row r="37" spans="1:80" s="72" customFormat="1">
      <c r="A37" s="87"/>
      <c r="B37" s="82"/>
      <c r="C37" s="218"/>
      <c r="D37" s="82"/>
      <c r="E37" s="82"/>
      <c r="F37" s="82"/>
      <c r="G37" s="83"/>
      <c r="H37" s="84"/>
      <c r="I37" s="84"/>
      <c r="J37" s="84"/>
      <c r="K37" s="84"/>
      <c r="L37" s="84"/>
      <c r="M37" s="29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</row>
    <row r="38" spans="1:80" s="71" customFormat="1">
      <c r="C38" s="219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</row>
  </sheetData>
  <mergeCells count="3">
    <mergeCell ref="A1:D8"/>
    <mergeCell ref="F2:G3"/>
    <mergeCell ref="F18:G19"/>
  </mergeCells>
  <dataValidations count="1">
    <dataValidation type="list" allowBlank="1" showInputMessage="1" showErrorMessage="1" sqref="F22:F36" xr:uid="{00000000-0002-0000-0900-000000000000}">
      <formula1>"MATERIALES,ARRIENDOS,ART. DE OFICINA,IMP. DE SEGURIDAD,MANT. EXTINTORES,GASTOS LEGALES,ROPA DE TRABAJO,IMPRENTA,OTROS ARRIENDOS,COLACIÓN,MANT. VEHICULOS,FLETES,ACTIVO FIJO,ARRIENDO DISPENSADOR"</formula1>
    </dataValidation>
  </dataValidations>
  <pageMargins left="0.75000000000000011" right="0.75000000000000011" top="1" bottom="1" header="0.5" footer="0.5"/>
  <pageSetup scale="12" orientation="landscape" horizontalDpi="4294967292" verticalDpi="4294967292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B33"/>
  <sheetViews>
    <sheetView topLeftCell="A13" workbookViewId="0">
      <selection activeCell="E25" sqref="E25"/>
    </sheetView>
  </sheetViews>
  <sheetFormatPr baseColWidth="10" defaultColWidth="10.83203125" defaultRowHeight="13"/>
  <cols>
    <col min="1" max="1" width="10.83203125" style="22"/>
    <col min="2" max="2" width="15.83203125" style="211" customWidth="1"/>
    <col min="3" max="5" width="15.83203125" style="201" customWidth="1"/>
    <col min="6" max="6" width="21.5" style="22" customWidth="1"/>
    <col min="7" max="7" width="35.83203125" style="22" customWidth="1"/>
    <col min="8" max="12" width="15.83203125" style="22" customWidth="1"/>
    <col min="13" max="16384" width="10.83203125" style="22"/>
  </cols>
  <sheetData>
    <row r="1" spans="1:8" ht="13" customHeight="1">
      <c r="A1" s="736"/>
      <c r="B1" s="736"/>
      <c r="C1" s="736"/>
      <c r="D1" s="737"/>
      <c r="F1" s="28"/>
      <c r="G1" s="28"/>
    </row>
    <row r="2" spans="1:8" ht="13" customHeight="1">
      <c r="A2" s="738"/>
      <c r="B2" s="738"/>
      <c r="C2" s="738"/>
      <c r="D2" s="739"/>
      <c r="E2" s="212"/>
      <c r="F2" s="735" t="s">
        <v>58</v>
      </c>
      <c r="G2" s="735"/>
      <c r="H2" s="29"/>
    </row>
    <row r="3" spans="1:8" ht="13" customHeight="1">
      <c r="A3" s="738"/>
      <c r="B3" s="738"/>
      <c r="C3" s="738"/>
      <c r="D3" s="739"/>
      <c r="E3" s="212"/>
      <c r="F3" s="735"/>
      <c r="G3" s="735"/>
      <c r="H3" s="29"/>
    </row>
    <row r="4" spans="1:8" ht="13" customHeight="1">
      <c r="A4" s="738"/>
      <c r="B4" s="738"/>
      <c r="C4" s="738"/>
      <c r="D4" s="739"/>
      <c r="F4" s="32"/>
      <c r="G4" s="32"/>
    </row>
    <row r="5" spans="1:8" ht="13" customHeight="1">
      <c r="A5" s="738"/>
      <c r="B5" s="738"/>
      <c r="C5" s="738"/>
      <c r="D5" s="739"/>
    </row>
    <row r="6" spans="1:8" ht="13" customHeight="1">
      <c r="A6" s="738"/>
      <c r="B6" s="738"/>
      <c r="C6" s="738"/>
      <c r="D6" s="739"/>
      <c r="F6" s="28"/>
      <c r="G6" s="28"/>
    </row>
    <row r="7" spans="1:8" ht="13" customHeight="1">
      <c r="A7" s="738"/>
      <c r="B7" s="738"/>
      <c r="C7" s="738"/>
      <c r="D7" s="739"/>
      <c r="E7" s="212"/>
      <c r="F7" s="734" t="s">
        <v>59</v>
      </c>
      <c r="G7" s="734"/>
      <c r="H7" s="29"/>
    </row>
    <row r="8" spans="1:8" ht="13" customHeight="1">
      <c r="A8" s="740"/>
      <c r="B8" s="740"/>
      <c r="C8" s="740"/>
      <c r="D8" s="741"/>
      <c r="E8" s="212"/>
      <c r="F8" s="734"/>
      <c r="G8" s="734"/>
      <c r="H8" s="29"/>
    </row>
    <row r="9" spans="1:8" ht="21">
      <c r="A9" s="85"/>
      <c r="B9" s="202"/>
      <c r="C9" s="222"/>
      <c r="D9" s="213"/>
      <c r="F9" s="32"/>
      <c r="G9" s="32"/>
    </row>
    <row r="10" spans="1:8" ht="68" customHeight="1">
      <c r="A10" s="65" t="s">
        <v>2</v>
      </c>
      <c r="B10" s="203" t="s">
        <v>81</v>
      </c>
      <c r="C10" s="214" t="s">
        <v>41</v>
      </c>
      <c r="D10" s="214" t="s">
        <v>39</v>
      </c>
      <c r="F10" s="32"/>
    </row>
    <row r="11" spans="1:8" ht="20" customHeight="1">
      <c r="A11" s="333">
        <v>1</v>
      </c>
      <c r="B11" s="334" t="s">
        <v>124</v>
      </c>
      <c r="C11" s="60"/>
      <c r="D11" s="61">
        <v>500000</v>
      </c>
      <c r="F11" s="32"/>
    </row>
    <row r="12" spans="1:8" ht="20" customHeight="1">
      <c r="A12" s="333">
        <v>2</v>
      </c>
      <c r="B12" s="334" t="s">
        <v>125</v>
      </c>
      <c r="C12" s="60"/>
      <c r="D12" s="61">
        <v>500000</v>
      </c>
      <c r="F12" s="32"/>
    </row>
    <row r="13" spans="1:8" ht="20" customHeight="1">
      <c r="A13" s="333">
        <v>3</v>
      </c>
      <c r="B13" s="205"/>
      <c r="C13" s="60"/>
      <c r="D13" s="61"/>
      <c r="F13" s="32"/>
    </row>
    <row r="14" spans="1:8" ht="20" customHeight="1">
      <c r="A14" s="58"/>
      <c r="B14" s="205"/>
      <c r="C14" s="217"/>
      <c r="D14" s="101"/>
      <c r="F14" s="32"/>
    </row>
    <row r="15" spans="1:8" ht="20" customHeight="1">
      <c r="A15" s="58"/>
      <c r="B15" s="204"/>
      <c r="C15" s="223"/>
      <c r="D15" s="61"/>
      <c r="F15" s="32"/>
    </row>
    <row r="16" spans="1:8" ht="20" customHeight="1">
      <c r="A16" s="28"/>
      <c r="B16" s="206"/>
      <c r="C16" s="215"/>
      <c r="D16" s="120">
        <f>SUM(D11:D15)</f>
        <v>1000000</v>
      </c>
      <c r="F16" s="32"/>
    </row>
    <row r="17" spans="1:80" ht="21">
      <c r="A17" s="85"/>
      <c r="B17" s="202"/>
      <c r="C17" s="222"/>
      <c r="D17" s="213"/>
      <c r="F17" s="32"/>
      <c r="G17" s="32"/>
    </row>
    <row r="18" spans="1:80" s="28" customFormat="1" ht="25" customHeight="1">
      <c r="B18" s="207" t="s">
        <v>55</v>
      </c>
      <c r="C18" s="381">
        <f>SUM(C20:C32)</f>
        <v>1630000</v>
      </c>
      <c r="D18" s="215"/>
      <c r="E18" s="215"/>
      <c r="I18" s="80" t="s">
        <v>56</v>
      </c>
      <c r="J18" s="381">
        <f>SUM(J20:J32)</f>
        <v>0</v>
      </c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</row>
    <row r="19" spans="1:80" s="70" customFormat="1" ht="25" customHeight="1">
      <c r="A19" s="86" t="s">
        <v>54</v>
      </c>
      <c r="B19" s="208" t="s">
        <v>43</v>
      </c>
      <c r="C19" s="216" t="s">
        <v>44</v>
      </c>
      <c r="D19" s="216" t="s">
        <v>45</v>
      </c>
      <c r="E19" s="216" t="s">
        <v>46</v>
      </c>
      <c r="F19" s="216" t="s">
        <v>48</v>
      </c>
      <c r="G19" s="67" t="s">
        <v>47</v>
      </c>
      <c r="H19" s="68" t="s">
        <v>49</v>
      </c>
      <c r="I19" s="68" t="s">
        <v>50</v>
      </c>
      <c r="J19" s="68" t="s">
        <v>51</v>
      </c>
      <c r="K19" s="68" t="s">
        <v>52</v>
      </c>
      <c r="L19" s="68" t="s">
        <v>53</v>
      </c>
      <c r="M19" s="29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</row>
    <row r="20" spans="1:80" s="72" customFormat="1" ht="14">
      <c r="A20" s="246"/>
      <c r="B20" s="384"/>
      <c r="C20" s="387">
        <v>1630000</v>
      </c>
      <c r="D20" s="385">
        <f>C20*0.19</f>
        <v>309700</v>
      </c>
      <c r="E20" s="385">
        <f t="shared" ref="E20" si="0">+D20+C20</f>
        <v>1939700</v>
      </c>
      <c r="F20" s="382"/>
      <c r="G20" s="243" t="s">
        <v>525</v>
      </c>
      <c r="H20" s="247"/>
      <c r="I20" s="247"/>
      <c r="J20" s="387">
        <v>0</v>
      </c>
      <c r="K20" s="244">
        <f t="shared" ref="K20" si="1">+J20*0.19</f>
        <v>0</v>
      </c>
      <c r="L20" s="244">
        <f t="shared" ref="L20" si="2">+K20+J20</f>
        <v>0</v>
      </c>
      <c r="M20" s="29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</row>
    <row r="21" spans="1:80" s="72" customFormat="1">
      <c r="A21" s="379"/>
      <c r="B21" s="384"/>
      <c r="C21" s="387"/>
      <c r="D21" s="385">
        <f t="shared" ref="D21:D22" si="3">C21*0.19</f>
        <v>0</v>
      </c>
      <c r="E21" s="385">
        <f t="shared" ref="E21:E22" si="4">+D21+C21</f>
        <v>0</v>
      </c>
      <c r="F21" s="382"/>
      <c r="G21" s="243"/>
      <c r="H21" s="380"/>
      <c r="I21" s="380"/>
      <c r="J21" s="387">
        <v>0</v>
      </c>
      <c r="K21" s="244">
        <f t="shared" ref="K21:K31" si="5">+J21*0.19</f>
        <v>0</v>
      </c>
      <c r="L21" s="244">
        <f t="shared" ref="L21:L31" si="6">+K21+J21</f>
        <v>0</v>
      </c>
      <c r="M21" s="29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</row>
    <row r="22" spans="1:80" s="72" customFormat="1">
      <c r="A22" s="379"/>
      <c r="B22" s="384"/>
      <c r="C22" s="387"/>
      <c r="D22" s="385">
        <f t="shared" si="3"/>
        <v>0</v>
      </c>
      <c r="E22" s="385">
        <f t="shared" si="4"/>
        <v>0</v>
      </c>
      <c r="F22" s="382"/>
      <c r="G22" s="243"/>
      <c r="H22" s="380"/>
      <c r="I22" s="380"/>
      <c r="J22" s="387">
        <v>0</v>
      </c>
      <c r="K22" s="244">
        <f t="shared" si="5"/>
        <v>0</v>
      </c>
      <c r="L22" s="244">
        <f t="shared" si="6"/>
        <v>0</v>
      </c>
      <c r="M22" s="29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</row>
    <row r="23" spans="1:80" s="72" customFormat="1">
      <c r="A23" s="379"/>
      <c r="B23" s="384"/>
      <c r="C23" s="387"/>
      <c r="D23" s="385"/>
      <c r="E23" s="385"/>
      <c r="F23" s="382"/>
      <c r="G23" s="243"/>
      <c r="H23" s="380"/>
      <c r="I23" s="380"/>
      <c r="J23" s="387">
        <v>0</v>
      </c>
      <c r="K23" s="244">
        <f t="shared" si="5"/>
        <v>0</v>
      </c>
      <c r="L23" s="244">
        <f t="shared" si="6"/>
        <v>0</v>
      </c>
      <c r="M23" s="29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</row>
    <row r="24" spans="1:80" s="72" customFormat="1">
      <c r="A24" s="379"/>
      <c r="B24" s="384"/>
      <c r="C24" s="387"/>
      <c r="D24" s="385"/>
      <c r="E24" s="385"/>
      <c r="F24" s="382"/>
      <c r="G24" s="243"/>
      <c r="H24" s="380"/>
      <c r="I24" s="380"/>
      <c r="J24" s="387">
        <v>0</v>
      </c>
      <c r="K24" s="244">
        <f t="shared" si="5"/>
        <v>0</v>
      </c>
      <c r="L24" s="244">
        <f t="shared" si="6"/>
        <v>0</v>
      </c>
      <c r="M24" s="29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</row>
    <row r="25" spans="1:80" s="72" customFormat="1">
      <c r="A25" s="379"/>
      <c r="B25" s="384"/>
      <c r="C25" s="387"/>
      <c r="D25" s="385"/>
      <c r="E25" s="385"/>
      <c r="F25" s="382"/>
      <c r="G25" s="243"/>
      <c r="H25" s="380"/>
      <c r="I25" s="380"/>
      <c r="J25" s="387">
        <v>0</v>
      </c>
      <c r="K25" s="244">
        <f t="shared" si="5"/>
        <v>0</v>
      </c>
      <c r="L25" s="244">
        <f t="shared" si="6"/>
        <v>0</v>
      </c>
      <c r="M25" s="29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</row>
    <row r="26" spans="1:80" s="72" customFormat="1">
      <c r="A26" s="379"/>
      <c r="B26" s="384"/>
      <c r="C26" s="387"/>
      <c r="D26" s="385"/>
      <c r="E26" s="385"/>
      <c r="F26" s="382"/>
      <c r="G26" s="243"/>
      <c r="H26" s="380"/>
      <c r="I26" s="380"/>
      <c r="J26" s="387">
        <v>0</v>
      </c>
      <c r="K26" s="244">
        <f t="shared" si="5"/>
        <v>0</v>
      </c>
      <c r="L26" s="244">
        <f t="shared" si="6"/>
        <v>0</v>
      </c>
      <c r="M26" s="29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</row>
    <row r="27" spans="1:80" s="72" customFormat="1">
      <c r="A27" s="379"/>
      <c r="B27" s="384"/>
      <c r="C27" s="387"/>
      <c r="D27" s="385"/>
      <c r="E27" s="385"/>
      <c r="F27" s="382"/>
      <c r="G27" s="243"/>
      <c r="H27" s="380"/>
      <c r="I27" s="380"/>
      <c r="J27" s="387">
        <v>0</v>
      </c>
      <c r="K27" s="244">
        <f t="shared" si="5"/>
        <v>0</v>
      </c>
      <c r="L27" s="244">
        <f t="shared" si="6"/>
        <v>0</v>
      </c>
      <c r="M27" s="29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</row>
    <row r="28" spans="1:80" s="72" customFormat="1">
      <c r="A28" s="379"/>
      <c r="B28" s="384"/>
      <c r="C28" s="387"/>
      <c r="D28" s="385"/>
      <c r="E28" s="385"/>
      <c r="F28" s="382"/>
      <c r="G28" s="243"/>
      <c r="H28" s="380"/>
      <c r="I28" s="380"/>
      <c r="J28" s="387">
        <v>0</v>
      </c>
      <c r="K28" s="244">
        <f t="shared" si="5"/>
        <v>0</v>
      </c>
      <c r="L28" s="244">
        <f t="shared" si="6"/>
        <v>0</v>
      </c>
      <c r="M28" s="29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</row>
    <row r="29" spans="1:80" s="72" customFormat="1">
      <c r="A29" s="379"/>
      <c r="B29" s="386"/>
      <c r="C29" s="388"/>
      <c r="D29" s="385"/>
      <c r="E29" s="385"/>
      <c r="F29" s="383"/>
      <c r="G29" s="161"/>
      <c r="H29" s="380"/>
      <c r="I29" s="380"/>
      <c r="J29" s="387">
        <v>0</v>
      </c>
      <c r="K29" s="244">
        <f t="shared" si="5"/>
        <v>0</v>
      </c>
      <c r="L29" s="244">
        <f t="shared" si="6"/>
        <v>0</v>
      </c>
      <c r="M29" s="29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</row>
    <row r="30" spans="1:80" s="72" customFormat="1">
      <c r="A30" s="379"/>
      <c r="B30" s="386"/>
      <c r="C30" s="388"/>
      <c r="D30" s="385"/>
      <c r="E30" s="385"/>
      <c r="F30" s="383"/>
      <c r="G30" s="161"/>
      <c r="H30" s="380"/>
      <c r="I30" s="380"/>
      <c r="J30" s="387">
        <v>0</v>
      </c>
      <c r="K30" s="244">
        <f t="shared" si="5"/>
        <v>0</v>
      </c>
      <c r="L30" s="244">
        <f t="shared" si="6"/>
        <v>0</v>
      </c>
      <c r="M30" s="29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</row>
    <row r="31" spans="1:80" s="72" customFormat="1">
      <c r="A31" s="379"/>
      <c r="B31" s="386"/>
      <c r="C31" s="388"/>
      <c r="D31" s="385"/>
      <c r="E31" s="385"/>
      <c r="F31" s="383"/>
      <c r="G31" s="161"/>
      <c r="H31" s="380"/>
      <c r="I31" s="380"/>
      <c r="J31" s="387">
        <v>0</v>
      </c>
      <c r="K31" s="244">
        <f t="shared" si="5"/>
        <v>0</v>
      </c>
      <c r="L31" s="244">
        <f t="shared" si="6"/>
        <v>0</v>
      </c>
      <c r="M31" s="29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</row>
    <row r="32" spans="1:80" s="72" customFormat="1">
      <c r="A32" s="87"/>
      <c r="B32" s="209"/>
      <c r="C32" s="218"/>
      <c r="D32" s="218"/>
      <c r="E32" s="218"/>
      <c r="F32" s="82"/>
      <c r="G32" s="82"/>
      <c r="H32" s="84"/>
      <c r="I32" s="84"/>
      <c r="J32" s="84"/>
      <c r="K32" s="84"/>
      <c r="L32" s="84"/>
      <c r="M32" s="29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</row>
    <row r="33" spans="2:80" s="71" customFormat="1">
      <c r="B33" s="210"/>
      <c r="C33" s="219"/>
      <c r="D33" s="219"/>
      <c r="E33" s="219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</row>
  </sheetData>
  <mergeCells count="3">
    <mergeCell ref="A1:D8"/>
    <mergeCell ref="F2:G3"/>
    <mergeCell ref="F7:G8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9"/>
  <sheetViews>
    <sheetView workbookViewId="0">
      <selection activeCell="E28" sqref="E28"/>
    </sheetView>
  </sheetViews>
  <sheetFormatPr baseColWidth="10" defaultColWidth="10.83203125" defaultRowHeight="13"/>
  <cols>
    <col min="1" max="1" width="10.83203125" style="22"/>
    <col min="2" max="2" width="45.6640625" style="22" customWidth="1"/>
    <col min="3" max="3" width="27.5" style="22" customWidth="1"/>
    <col min="4" max="6" width="20.83203125" style="22" customWidth="1"/>
    <col min="7" max="16384" width="10.83203125" style="22"/>
  </cols>
  <sheetData>
    <row r="1" spans="1:7" ht="13" customHeight="1">
      <c r="A1" s="750"/>
      <c r="B1" s="737"/>
      <c r="C1" s="88"/>
    </row>
    <row r="2" spans="1:7" ht="13" customHeight="1">
      <c r="A2" s="751"/>
      <c r="B2" s="739"/>
      <c r="C2" s="721" t="s">
        <v>58</v>
      </c>
      <c r="D2" s="722"/>
      <c r="E2" s="722"/>
      <c r="F2" s="723"/>
    </row>
    <row r="3" spans="1:7" ht="13" customHeight="1">
      <c r="A3" s="751"/>
      <c r="B3" s="739"/>
      <c r="C3" s="724"/>
      <c r="D3" s="725"/>
      <c r="E3" s="725"/>
      <c r="F3" s="726"/>
    </row>
    <row r="4" spans="1:7" ht="13" customHeight="1">
      <c r="A4" s="751"/>
      <c r="B4" s="739"/>
      <c r="C4" s="88"/>
    </row>
    <row r="5" spans="1:7" ht="13" customHeight="1">
      <c r="A5" s="751"/>
      <c r="B5" s="739"/>
      <c r="C5" s="89"/>
      <c r="D5" s="28"/>
      <c r="E5" s="28"/>
      <c r="F5" s="28"/>
    </row>
    <row r="6" spans="1:7" ht="13" customHeight="1">
      <c r="A6" s="751"/>
      <c r="B6" s="738"/>
      <c r="C6" s="753" t="s">
        <v>62</v>
      </c>
      <c r="D6" s="753"/>
      <c r="E6" s="753"/>
      <c r="F6" s="753"/>
      <c r="G6" s="29"/>
    </row>
    <row r="7" spans="1:7" ht="13" customHeight="1">
      <c r="A7" s="751"/>
      <c r="B7" s="738"/>
      <c r="C7" s="753"/>
      <c r="D7" s="753"/>
      <c r="E7" s="753"/>
      <c r="F7" s="753"/>
      <c r="G7" s="29"/>
    </row>
    <row r="8" spans="1:7" ht="13" customHeight="1">
      <c r="A8" s="752"/>
      <c r="B8" s="741"/>
      <c r="C8" s="90"/>
      <c r="D8" s="32"/>
      <c r="E8" s="32"/>
      <c r="F8" s="32"/>
    </row>
    <row r="11" spans="1:7" ht="68" customHeight="1">
      <c r="A11" s="65" t="s">
        <v>2</v>
      </c>
      <c r="B11" s="65" t="s">
        <v>63</v>
      </c>
      <c r="C11" s="99" t="s">
        <v>64</v>
      </c>
      <c r="D11" s="65" t="s">
        <v>57</v>
      </c>
      <c r="E11" s="29"/>
    </row>
    <row r="12" spans="1:7">
      <c r="A12" s="58"/>
      <c r="B12" s="59"/>
      <c r="C12" s="100"/>
      <c r="D12" s="101"/>
      <c r="E12" s="29"/>
    </row>
    <row r="13" spans="1:7" ht="20" customHeight="1">
      <c r="A13" s="58"/>
      <c r="B13" s="62"/>
      <c r="C13" s="100"/>
      <c r="D13" s="101"/>
      <c r="E13" s="29"/>
    </row>
    <row r="14" spans="1:7" ht="26.25" customHeight="1">
      <c r="A14" s="58"/>
      <c r="B14" s="59"/>
      <c r="C14" s="100"/>
      <c r="D14" s="101"/>
      <c r="E14" s="29"/>
    </row>
    <row r="15" spans="1:7" ht="20" customHeight="1">
      <c r="A15" s="58"/>
      <c r="B15" s="62"/>
      <c r="C15" s="100"/>
      <c r="D15" s="101"/>
      <c r="E15" s="29"/>
    </row>
    <row r="16" spans="1:7" ht="20" customHeight="1">
      <c r="A16" s="58"/>
      <c r="B16" s="62"/>
      <c r="C16" s="100"/>
      <c r="D16" s="101"/>
      <c r="E16" s="29"/>
    </row>
    <row r="17" spans="1:5" ht="29.25" customHeight="1">
      <c r="A17" s="58"/>
      <c r="B17" s="62"/>
      <c r="C17" s="100"/>
      <c r="D17" s="101"/>
      <c r="E17" s="29"/>
    </row>
    <row r="18" spans="1:5" ht="20" customHeight="1">
      <c r="A18" s="58"/>
      <c r="B18" s="62"/>
      <c r="C18" s="100"/>
      <c r="D18" s="101"/>
      <c r="E18" s="29"/>
    </row>
    <row r="19" spans="1:5" ht="20" customHeight="1">
      <c r="A19" s="58"/>
      <c r="B19" s="248"/>
      <c r="C19" s="249"/>
      <c r="D19" s="250"/>
      <c r="E19" s="29"/>
    </row>
    <row r="20" spans="1:5" ht="20" customHeight="1">
      <c r="A20" s="58"/>
      <c r="B20" s="248"/>
      <c r="C20" s="249"/>
      <c r="D20" s="250"/>
      <c r="E20" s="29"/>
    </row>
    <row r="21" spans="1:5">
      <c r="A21" s="58"/>
      <c r="B21" s="248"/>
      <c r="C21" s="249"/>
      <c r="D21" s="250"/>
      <c r="E21" s="29"/>
    </row>
    <row r="22" spans="1:5" ht="20" customHeight="1">
      <c r="A22" s="58"/>
      <c r="B22" s="248"/>
      <c r="C22" s="249"/>
      <c r="D22" s="250"/>
      <c r="E22" s="29"/>
    </row>
    <row r="23" spans="1:5" ht="20" customHeight="1">
      <c r="A23" s="242"/>
      <c r="B23" s="248"/>
      <c r="C23" s="249"/>
      <c r="D23" s="250"/>
      <c r="E23" s="29"/>
    </row>
    <row r="24" spans="1:5" ht="20" customHeight="1">
      <c r="A24" s="242"/>
      <c r="B24" s="248"/>
      <c r="C24" s="249"/>
      <c r="D24" s="250"/>
      <c r="E24" s="29"/>
    </row>
    <row r="25" spans="1:5" ht="20" customHeight="1">
      <c r="A25" s="242"/>
      <c r="B25" s="248"/>
      <c r="C25" s="249"/>
      <c r="D25" s="250"/>
      <c r="E25" s="29"/>
    </row>
    <row r="26" spans="1:5" ht="20" customHeight="1">
      <c r="A26" s="242"/>
      <c r="B26" s="248"/>
      <c r="C26" s="249"/>
      <c r="D26" s="250"/>
      <c r="E26" s="29"/>
    </row>
    <row r="27" spans="1:5" ht="20" customHeight="1">
      <c r="A27" s="58"/>
      <c r="B27" s="62"/>
      <c r="C27" s="100"/>
      <c r="D27" s="101"/>
      <c r="E27" s="29"/>
    </row>
    <row r="28" spans="1:5" ht="20" customHeight="1">
      <c r="A28" s="63"/>
      <c r="B28" s="63"/>
      <c r="C28" s="64"/>
      <c r="D28" s="102">
        <f>SUM(D12:D27)</f>
        <v>0</v>
      </c>
      <c r="E28" s="251"/>
    </row>
    <row r="29" spans="1:5">
      <c r="D29" s="32"/>
    </row>
  </sheetData>
  <mergeCells count="3">
    <mergeCell ref="A1:B8"/>
    <mergeCell ref="C2:F3"/>
    <mergeCell ref="C6:F7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22"/>
  <sheetViews>
    <sheetView topLeftCell="A80" zoomScale="70" zoomScaleNormal="70" workbookViewId="0">
      <selection activeCell="J122" sqref="J122"/>
    </sheetView>
  </sheetViews>
  <sheetFormatPr baseColWidth="10" defaultRowHeight="13"/>
  <cols>
    <col min="1" max="1" width="13.6640625" customWidth="1"/>
    <col min="2" max="8" width="20.83203125" customWidth="1"/>
    <col min="9" max="10" width="13.33203125" bestFit="1" customWidth="1"/>
  </cols>
  <sheetData>
    <row r="1" spans="1:7">
      <c r="A1" s="754"/>
      <c r="B1" s="754"/>
      <c r="C1" s="754"/>
    </row>
    <row r="2" spans="1:7">
      <c r="A2" s="754"/>
      <c r="B2" s="754"/>
      <c r="C2" s="754"/>
      <c r="D2" s="721" t="s">
        <v>58</v>
      </c>
      <c r="E2" s="722"/>
      <c r="F2" s="722"/>
      <c r="G2" s="723"/>
    </row>
    <row r="3" spans="1:7">
      <c r="A3" s="754"/>
      <c r="B3" s="754"/>
      <c r="C3" s="754"/>
      <c r="D3" s="724"/>
      <c r="E3" s="725"/>
      <c r="F3" s="725"/>
      <c r="G3" s="726"/>
    </row>
    <row r="4" spans="1:7" ht="23">
      <c r="A4" s="754"/>
      <c r="B4" s="754"/>
      <c r="C4" s="754"/>
      <c r="D4" s="88"/>
      <c r="E4" s="22"/>
      <c r="F4" s="22"/>
      <c r="G4" s="22"/>
    </row>
    <row r="5" spans="1:7" ht="23">
      <c r="A5" s="754"/>
      <c r="B5" s="754"/>
      <c r="C5" s="754"/>
      <c r="D5" s="89"/>
      <c r="E5" s="28"/>
      <c r="F5" s="28"/>
      <c r="G5" s="28"/>
    </row>
    <row r="6" spans="1:7" ht="13" customHeight="1">
      <c r="A6" s="754"/>
      <c r="B6" s="754"/>
      <c r="C6" s="754"/>
      <c r="D6" s="89"/>
      <c r="E6" s="28"/>
      <c r="F6" s="28"/>
      <c r="G6" s="28"/>
    </row>
    <row r="7" spans="1:7" ht="13" customHeight="1">
      <c r="A7" s="754"/>
      <c r="B7" s="754"/>
      <c r="C7" s="754"/>
      <c r="D7" s="89"/>
      <c r="E7" s="28"/>
      <c r="F7" s="28"/>
      <c r="G7" s="28"/>
    </row>
    <row r="8" spans="1:7">
      <c r="A8" s="754"/>
      <c r="B8" s="754"/>
      <c r="C8" s="754"/>
    </row>
    <row r="10" spans="1:7" s="22" customFormat="1" ht="68" customHeight="1">
      <c r="A10" s="65" t="s">
        <v>2</v>
      </c>
      <c r="B10" s="65" t="s">
        <v>81</v>
      </c>
      <c r="C10" s="65" t="s">
        <v>41</v>
      </c>
      <c r="D10" s="65" t="s">
        <v>39</v>
      </c>
      <c r="F10" s="32"/>
    </row>
    <row r="11" spans="1:7" s="22" customFormat="1" ht="20" customHeight="1">
      <c r="A11" s="333">
        <v>1</v>
      </c>
      <c r="B11" s="334" t="s">
        <v>124</v>
      </c>
      <c r="C11" s="60"/>
      <c r="D11" s="481">
        <v>350000</v>
      </c>
      <c r="F11" s="32"/>
    </row>
    <row r="12" spans="1:7" s="22" customFormat="1" ht="20" customHeight="1">
      <c r="A12" s="333">
        <v>2</v>
      </c>
      <c r="B12" s="334" t="s">
        <v>125</v>
      </c>
      <c r="C12" s="60"/>
      <c r="D12" s="481">
        <v>350000</v>
      </c>
      <c r="F12" s="32"/>
    </row>
    <row r="13" spans="1:7" s="22" customFormat="1" ht="20" customHeight="1">
      <c r="A13" s="333">
        <v>3</v>
      </c>
      <c r="B13" s="334"/>
      <c r="C13" s="60"/>
      <c r="D13" s="61"/>
      <c r="F13" s="32"/>
    </row>
    <row r="14" spans="1:7" s="22" customFormat="1" ht="20" customHeight="1">
      <c r="A14" s="58">
        <v>4</v>
      </c>
      <c r="B14" s="59"/>
      <c r="C14" s="161"/>
      <c r="D14" s="61"/>
      <c r="F14" s="32"/>
    </row>
    <row r="15" spans="1:7" s="22" customFormat="1" ht="20" customHeight="1">
      <c r="A15" s="58">
        <v>5</v>
      </c>
      <c r="B15" s="59"/>
      <c r="C15" s="73"/>
      <c r="D15" s="61"/>
      <c r="F15" s="32"/>
    </row>
    <row r="16" spans="1:7" s="22" customFormat="1" ht="20" customHeight="1">
      <c r="A16" s="58">
        <v>6</v>
      </c>
      <c r="B16" s="62"/>
      <c r="C16" s="60"/>
      <c r="D16" s="61"/>
      <c r="F16" s="32"/>
    </row>
    <row r="17" spans="1:10" s="22" customFormat="1" ht="20" customHeight="1">
      <c r="A17" s="28"/>
      <c r="B17" s="28"/>
      <c r="C17" s="28"/>
      <c r="D17" s="120">
        <f>SUM(D11:D16)</f>
        <v>700000</v>
      </c>
      <c r="E17" s="189"/>
      <c r="F17" s="32"/>
    </row>
    <row r="18" spans="1:10" s="71" customFormat="1" ht="20" customHeight="1"/>
    <row r="19" spans="1:10" s="71" customFormat="1" ht="20" customHeight="1">
      <c r="D19" s="753" t="s">
        <v>73</v>
      </c>
      <c r="E19" s="753"/>
      <c r="F19" s="753"/>
      <c r="G19" s="753"/>
    </row>
    <row r="20" spans="1:10" s="71" customFormat="1" ht="20" customHeight="1">
      <c r="D20" s="753"/>
      <c r="E20" s="753"/>
      <c r="F20" s="753"/>
      <c r="G20" s="753"/>
    </row>
    <row r="22" spans="1:10" s="103" customFormat="1" ht="29.25" customHeight="1" thickBot="1">
      <c r="A22" s="105" t="s">
        <v>65</v>
      </c>
      <c r="B22" s="106" t="s">
        <v>66</v>
      </c>
      <c r="C22" s="106" t="s">
        <v>67</v>
      </c>
      <c r="D22" s="106" t="s">
        <v>68</v>
      </c>
      <c r="E22" s="105" t="s">
        <v>69</v>
      </c>
      <c r="F22" s="105" t="s">
        <v>70</v>
      </c>
      <c r="G22" s="105" t="s">
        <v>71</v>
      </c>
      <c r="H22" s="106" t="s">
        <v>72</v>
      </c>
      <c r="I22" s="103" t="s">
        <v>442</v>
      </c>
      <c r="J22" s="103" t="s">
        <v>442</v>
      </c>
    </row>
    <row r="23" spans="1:10" s="104" customFormat="1" ht="17.25" customHeight="1">
      <c r="A23" s="513">
        <v>45818</v>
      </c>
      <c r="B23" s="514" t="s">
        <v>396</v>
      </c>
      <c r="C23" s="396" t="s">
        <v>397</v>
      </c>
      <c r="D23" s="397" t="s">
        <v>398</v>
      </c>
      <c r="E23" s="398" t="s">
        <v>399</v>
      </c>
      <c r="F23" s="399" t="s">
        <v>400</v>
      </c>
      <c r="G23" s="400"/>
      <c r="H23" s="515">
        <v>40500</v>
      </c>
      <c r="I23" s="527">
        <f>G23/1.19</f>
        <v>0</v>
      </c>
      <c r="J23" s="527">
        <f>H23/1.19</f>
        <v>34033.613445378156</v>
      </c>
    </row>
    <row r="24" spans="1:10" s="104" customFormat="1" ht="17.25" customHeight="1">
      <c r="A24" s="394">
        <v>45767</v>
      </c>
      <c r="B24" s="395" t="s">
        <v>396</v>
      </c>
      <c r="C24" s="401">
        <v>31613</v>
      </c>
      <c r="D24" s="402" t="s">
        <v>398</v>
      </c>
      <c r="E24" s="403" t="s">
        <v>401</v>
      </c>
      <c r="F24" s="404" t="s">
        <v>400</v>
      </c>
      <c r="G24" s="405"/>
      <c r="H24" s="516">
        <v>40000</v>
      </c>
      <c r="I24" s="527">
        <f t="shared" ref="I24:I51" si="0">G24/1.19</f>
        <v>0</v>
      </c>
      <c r="J24" s="527">
        <f t="shared" ref="J24:J51" si="1">H24/1.19</f>
        <v>33613.445378151264</v>
      </c>
    </row>
    <row r="25" spans="1:10" s="104" customFormat="1" ht="17.25" customHeight="1">
      <c r="A25" s="394">
        <v>45845</v>
      </c>
      <c r="B25" s="395" t="s">
        <v>396</v>
      </c>
      <c r="C25" s="407">
        <v>284621</v>
      </c>
      <c r="D25" s="402" t="s">
        <v>398</v>
      </c>
      <c r="E25" s="403" t="s">
        <v>402</v>
      </c>
      <c r="F25" s="404" t="s">
        <v>400</v>
      </c>
      <c r="G25" s="405"/>
      <c r="H25" s="406">
        <v>30000</v>
      </c>
      <c r="I25" s="527">
        <f t="shared" si="0"/>
        <v>0</v>
      </c>
      <c r="J25" s="527">
        <f t="shared" si="1"/>
        <v>25210.084033613446</v>
      </c>
    </row>
    <row r="26" spans="1:10" s="104" customFormat="1" ht="17.25" customHeight="1">
      <c r="A26" s="394">
        <v>45845</v>
      </c>
      <c r="B26" s="395" t="s">
        <v>403</v>
      </c>
      <c r="C26" s="407">
        <v>62695569</v>
      </c>
      <c r="D26" s="402" t="s">
        <v>398</v>
      </c>
      <c r="E26" s="403" t="s">
        <v>404</v>
      </c>
      <c r="F26" s="404" t="s">
        <v>405</v>
      </c>
      <c r="G26" s="405"/>
      <c r="H26" s="406">
        <v>20400</v>
      </c>
      <c r="I26" s="527">
        <f t="shared" si="0"/>
        <v>0</v>
      </c>
      <c r="J26" s="527">
        <f t="shared" si="1"/>
        <v>17142.857142857145</v>
      </c>
    </row>
    <row r="27" spans="1:10" s="104" customFormat="1" ht="17.25" customHeight="1">
      <c r="A27" s="394">
        <v>45865</v>
      </c>
      <c r="B27" s="395" t="s">
        <v>396</v>
      </c>
      <c r="C27" s="408" t="s">
        <v>406</v>
      </c>
      <c r="D27" s="402" t="s">
        <v>398</v>
      </c>
      <c r="E27" s="403" t="s">
        <v>407</v>
      </c>
      <c r="F27" s="404" t="s">
        <v>408</v>
      </c>
      <c r="G27" s="405"/>
      <c r="H27" s="406">
        <v>57100</v>
      </c>
      <c r="I27" s="527">
        <f t="shared" si="0"/>
        <v>0</v>
      </c>
      <c r="J27" s="527">
        <f t="shared" si="1"/>
        <v>47983.193277310929</v>
      </c>
    </row>
    <row r="28" spans="1:10" s="104" customFormat="1" ht="17.25" customHeight="1">
      <c r="A28" s="394">
        <v>45866</v>
      </c>
      <c r="B28" s="395" t="s">
        <v>403</v>
      </c>
      <c r="C28" s="407">
        <v>1853058</v>
      </c>
      <c r="D28" s="402" t="s">
        <v>398</v>
      </c>
      <c r="E28" s="403" t="s">
        <v>409</v>
      </c>
      <c r="F28" s="403" t="s">
        <v>410</v>
      </c>
      <c r="G28" s="405">
        <v>3500</v>
      </c>
      <c r="H28" s="406"/>
      <c r="I28" s="527">
        <f t="shared" si="0"/>
        <v>2941.1764705882356</v>
      </c>
      <c r="J28" s="527">
        <f t="shared" si="1"/>
        <v>0</v>
      </c>
    </row>
    <row r="29" spans="1:10" s="104" customFormat="1" ht="17.25" customHeight="1">
      <c r="A29" s="394">
        <v>45866</v>
      </c>
      <c r="B29" s="395" t="s">
        <v>411</v>
      </c>
      <c r="C29" s="407">
        <v>1813428</v>
      </c>
      <c r="D29" s="402" t="s">
        <v>398</v>
      </c>
      <c r="E29" s="403" t="s">
        <v>409</v>
      </c>
      <c r="F29" s="403" t="s">
        <v>410</v>
      </c>
      <c r="G29" s="405">
        <v>1200</v>
      </c>
      <c r="H29" s="406"/>
      <c r="I29" s="527">
        <f t="shared" si="0"/>
        <v>1008.4033613445379</v>
      </c>
      <c r="J29" s="527">
        <f t="shared" si="1"/>
        <v>0</v>
      </c>
    </row>
    <row r="30" spans="1:10" s="104" customFormat="1" ht="17.25" customHeight="1">
      <c r="A30" s="394">
        <v>45861</v>
      </c>
      <c r="B30" s="395" t="s">
        <v>411</v>
      </c>
      <c r="C30" s="407">
        <v>82656</v>
      </c>
      <c r="D30" s="402" t="s">
        <v>398</v>
      </c>
      <c r="E30" s="403" t="s">
        <v>412</v>
      </c>
      <c r="F30" s="404" t="s">
        <v>413</v>
      </c>
      <c r="G30" s="405">
        <v>7440</v>
      </c>
      <c r="H30" s="406"/>
      <c r="I30" s="527">
        <f t="shared" si="0"/>
        <v>6252.1008403361348</v>
      </c>
      <c r="J30" s="527">
        <f t="shared" si="1"/>
        <v>0</v>
      </c>
    </row>
    <row r="31" spans="1:10" s="104" customFormat="1" ht="17.25" customHeight="1">
      <c r="A31" s="394">
        <v>45866</v>
      </c>
      <c r="B31" s="395" t="s">
        <v>411</v>
      </c>
      <c r="C31" s="407">
        <v>32003</v>
      </c>
      <c r="D31" s="402" t="s">
        <v>398</v>
      </c>
      <c r="E31" s="403" t="s">
        <v>414</v>
      </c>
      <c r="F31" s="404" t="s">
        <v>415</v>
      </c>
      <c r="G31" s="405">
        <v>7790</v>
      </c>
      <c r="H31" s="406"/>
      <c r="I31" s="527">
        <f t="shared" si="0"/>
        <v>6546.2184873949582</v>
      </c>
      <c r="J31" s="527">
        <f t="shared" si="1"/>
        <v>0</v>
      </c>
    </row>
    <row r="32" spans="1:10" s="104" customFormat="1" ht="17.25" customHeight="1">
      <c r="A32" s="394">
        <v>45873</v>
      </c>
      <c r="B32" s="395" t="s">
        <v>411</v>
      </c>
      <c r="C32" s="409">
        <v>294002756</v>
      </c>
      <c r="D32" s="402" t="s">
        <v>398</v>
      </c>
      <c r="E32" s="403" t="s">
        <v>416</v>
      </c>
      <c r="F32" s="517" t="s">
        <v>417</v>
      </c>
      <c r="G32" s="518">
        <v>20000</v>
      </c>
      <c r="H32" s="519"/>
      <c r="I32" s="527">
        <f t="shared" si="0"/>
        <v>16806.722689075632</v>
      </c>
      <c r="J32" s="527">
        <f t="shared" si="1"/>
        <v>0</v>
      </c>
    </row>
    <row r="33" spans="1:10" s="104" customFormat="1" ht="17.25" customHeight="1">
      <c r="A33" s="394">
        <v>45874</v>
      </c>
      <c r="B33" s="395" t="s">
        <v>411</v>
      </c>
      <c r="C33" s="409">
        <v>295232284</v>
      </c>
      <c r="D33" s="402" t="s">
        <v>398</v>
      </c>
      <c r="E33" s="403" t="s">
        <v>418</v>
      </c>
      <c r="F33" s="517" t="s">
        <v>417</v>
      </c>
      <c r="G33" s="518">
        <v>20000</v>
      </c>
      <c r="H33" s="519"/>
      <c r="I33" s="527">
        <f t="shared" si="0"/>
        <v>16806.722689075632</v>
      </c>
      <c r="J33" s="527">
        <f t="shared" si="1"/>
        <v>0</v>
      </c>
    </row>
    <row r="34" spans="1:10" s="104" customFormat="1" ht="17.25" customHeight="1">
      <c r="A34" s="394">
        <v>45876</v>
      </c>
      <c r="B34" s="395" t="s">
        <v>396</v>
      </c>
      <c r="C34" s="409">
        <v>141375821</v>
      </c>
      <c r="D34" s="402" t="s">
        <v>398</v>
      </c>
      <c r="E34" s="404" t="s">
        <v>419</v>
      </c>
      <c r="F34" s="517" t="s">
        <v>420</v>
      </c>
      <c r="G34" s="518"/>
      <c r="H34" s="519">
        <v>5063</v>
      </c>
      <c r="I34" s="527">
        <f t="shared" si="0"/>
        <v>0</v>
      </c>
      <c r="J34" s="527">
        <f t="shared" si="1"/>
        <v>4254.6218487394963</v>
      </c>
    </row>
    <row r="35" spans="1:10" s="104" customFormat="1" ht="17.25" customHeight="1">
      <c r="A35" s="394">
        <v>45874</v>
      </c>
      <c r="B35" s="395" t="s">
        <v>396</v>
      </c>
      <c r="C35" s="409">
        <v>141583207</v>
      </c>
      <c r="D35" s="402" t="s">
        <v>398</v>
      </c>
      <c r="E35" s="404" t="s">
        <v>419</v>
      </c>
      <c r="F35" s="517" t="s">
        <v>421</v>
      </c>
      <c r="G35" s="518"/>
      <c r="H35" s="519">
        <v>8397</v>
      </c>
      <c r="I35" s="527">
        <f t="shared" si="0"/>
        <v>0</v>
      </c>
      <c r="J35" s="527">
        <f t="shared" si="1"/>
        <v>7056.3025210084033</v>
      </c>
    </row>
    <row r="36" spans="1:10" s="104" customFormat="1" ht="17.25" customHeight="1">
      <c r="A36" s="394">
        <v>45877</v>
      </c>
      <c r="B36" s="395" t="s">
        <v>396</v>
      </c>
      <c r="C36" s="409">
        <v>141645065</v>
      </c>
      <c r="D36" s="402" t="s">
        <v>398</v>
      </c>
      <c r="E36" s="404" t="s">
        <v>419</v>
      </c>
      <c r="F36" s="517" t="s">
        <v>422</v>
      </c>
      <c r="G36" s="518"/>
      <c r="H36" s="519">
        <v>5063</v>
      </c>
      <c r="I36" s="527">
        <f t="shared" si="0"/>
        <v>0</v>
      </c>
      <c r="J36" s="527">
        <f t="shared" si="1"/>
        <v>4254.6218487394963</v>
      </c>
    </row>
    <row r="37" spans="1:10" s="104" customFormat="1" ht="17.25" customHeight="1">
      <c r="A37" s="394">
        <v>45873</v>
      </c>
      <c r="B37" s="395" t="s">
        <v>403</v>
      </c>
      <c r="C37" s="409">
        <v>1169913</v>
      </c>
      <c r="D37" s="402" t="s">
        <v>398</v>
      </c>
      <c r="E37" s="403" t="s">
        <v>409</v>
      </c>
      <c r="F37" s="404" t="s">
        <v>410</v>
      </c>
      <c r="G37" s="410">
        <v>4400</v>
      </c>
      <c r="H37" s="406"/>
      <c r="I37" s="527">
        <f t="shared" si="0"/>
        <v>3697.4789915966389</v>
      </c>
      <c r="J37" s="527">
        <f t="shared" si="1"/>
        <v>0</v>
      </c>
    </row>
    <row r="38" spans="1:10" s="104" customFormat="1" ht="17.25" customHeight="1">
      <c r="A38" s="394">
        <v>45873</v>
      </c>
      <c r="B38" s="395" t="s">
        <v>396</v>
      </c>
      <c r="C38" s="409">
        <v>2888112</v>
      </c>
      <c r="D38" s="402" t="s">
        <v>398</v>
      </c>
      <c r="E38" s="404" t="s">
        <v>423</v>
      </c>
      <c r="F38" s="404" t="s">
        <v>424</v>
      </c>
      <c r="G38" s="410"/>
      <c r="H38" s="406">
        <v>21270</v>
      </c>
      <c r="I38" s="527">
        <f t="shared" si="0"/>
        <v>0</v>
      </c>
      <c r="J38" s="527">
        <f t="shared" si="1"/>
        <v>17873.949579831933</v>
      </c>
    </row>
    <row r="39" spans="1:10" s="104" customFormat="1" ht="17.25" customHeight="1">
      <c r="A39" s="394">
        <v>45873</v>
      </c>
      <c r="B39" s="395" t="s">
        <v>403</v>
      </c>
      <c r="C39" s="409">
        <v>7277</v>
      </c>
      <c r="D39" s="402" t="s">
        <v>398</v>
      </c>
      <c r="E39" s="404" t="s">
        <v>425</v>
      </c>
      <c r="F39" s="404" t="s">
        <v>426</v>
      </c>
      <c r="G39" s="410">
        <v>25000</v>
      </c>
      <c r="H39" s="406"/>
      <c r="I39" s="527">
        <f t="shared" si="0"/>
        <v>21008.403361344539</v>
      </c>
      <c r="J39" s="527">
        <f t="shared" si="1"/>
        <v>0</v>
      </c>
    </row>
    <row r="40" spans="1:10" s="104" customFormat="1" ht="17.25" customHeight="1">
      <c r="A40" s="394">
        <v>45873</v>
      </c>
      <c r="B40" s="395" t="s">
        <v>403</v>
      </c>
      <c r="C40" s="409">
        <v>1855212</v>
      </c>
      <c r="D40" s="402" t="s">
        <v>398</v>
      </c>
      <c r="E40" s="404" t="s">
        <v>409</v>
      </c>
      <c r="F40" s="404" t="s">
        <v>410</v>
      </c>
      <c r="G40" s="410">
        <v>1100</v>
      </c>
      <c r="H40" s="406"/>
      <c r="I40" s="527">
        <f t="shared" si="0"/>
        <v>924.36974789915973</v>
      </c>
      <c r="J40" s="527">
        <f t="shared" si="1"/>
        <v>0</v>
      </c>
    </row>
    <row r="41" spans="1:10" s="104" customFormat="1" ht="17.25" customHeight="1">
      <c r="A41" s="394">
        <v>45873</v>
      </c>
      <c r="B41" s="395" t="s">
        <v>403</v>
      </c>
      <c r="C41" s="409">
        <v>1855213</v>
      </c>
      <c r="D41" s="402" t="s">
        <v>398</v>
      </c>
      <c r="E41" s="404" t="s">
        <v>409</v>
      </c>
      <c r="F41" s="404" t="s">
        <v>427</v>
      </c>
      <c r="G41" s="410">
        <v>6800</v>
      </c>
      <c r="H41" s="406"/>
      <c r="I41" s="527">
        <f t="shared" si="0"/>
        <v>5714.2857142857147</v>
      </c>
      <c r="J41" s="527">
        <f t="shared" si="1"/>
        <v>0</v>
      </c>
    </row>
    <row r="42" spans="1:10" s="104" customFormat="1" ht="17.25" customHeight="1">
      <c r="A42" s="394">
        <v>45873</v>
      </c>
      <c r="B42" s="395" t="s">
        <v>396</v>
      </c>
      <c r="C42" s="409">
        <v>21278273</v>
      </c>
      <c r="D42" s="402" t="s">
        <v>398</v>
      </c>
      <c r="E42" s="404" t="s">
        <v>428</v>
      </c>
      <c r="F42" s="404" t="s">
        <v>429</v>
      </c>
      <c r="G42" s="410"/>
      <c r="H42" s="406">
        <v>40000</v>
      </c>
      <c r="I42" s="527">
        <f t="shared" si="0"/>
        <v>0</v>
      </c>
      <c r="J42" s="527">
        <f t="shared" si="1"/>
        <v>33613.445378151264</v>
      </c>
    </row>
    <row r="43" spans="1:10" s="104" customFormat="1" ht="17.25" customHeight="1">
      <c r="A43" s="394">
        <v>45875</v>
      </c>
      <c r="B43" s="395" t="s">
        <v>403</v>
      </c>
      <c r="C43" s="409">
        <v>1855752</v>
      </c>
      <c r="D43" s="402" t="s">
        <v>398</v>
      </c>
      <c r="E43" s="404" t="s">
        <v>409</v>
      </c>
      <c r="F43" s="404" t="s">
        <v>410</v>
      </c>
      <c r="G43" s="410">
        <v>5200</v>
      </c>
      <c r="H43" s="406"/>
      <c r="I43" s="527">
        <f t="shared" si="0"/>
        <v>4369.7478991596645</v>
      </c>
      <c r="J43" s="527">
        <f t="shared" si="1"/>
        <v>0</v>
      </c>
    </row>
    <row r="44" spans="1:10" s="104" customFormat="1" ht="17.25" customHeight="1">
      <c r="A44" s="394">
        <v>45875</v>
      </c>
      <c r="B44" s="395" t="s">
        <v>403</v>
      </c>
      <c r="C44" s="409">
        <v>58310878</v>
      </c>
      <c r="D44" s="402" t="s">
        <v>398</v>
      </c>
      <c r="E44" s="404" t="s">
        <v>430</v>
      </c>
      <c r="F44" s="404" t="s">
        <v>431</v>
      </c>
      <c r="G44" s="410">
        <v>6900</v>
      </c>
      <c r="H44" s="406"/>
      <c r="I44" s="527">
        <f t="shared" si="0"/>
        <v>5798.3193277310929</v>
      </c>
      <c r="J44" s="527">
        <f t="shared" si="1"/>
        <v>0</v>
      </c>
    </row>
    <row r="45" spans="1:10" s="104" customFormat="1" ht="17.25" customHeight="1">
      <c r="A45" s="394">
        <v>45880</v>
      </c>
      <c r="B45" s="395" t="s">
        <v>396</v>
      </c>
      <c r="C45" s="409">
        <v>323501</v>
      </c>
      <c r="D45" s="402" t="s">
        <v>398</v>
      </c>
      <c r="E45" s="404" t="s">
        <v>432</v>
      </c>
      <c r="F45" s="404" t="s">
        <v>429</v>
      </c>
      <c r="G45" s="410"/>
      <c r="H45" s="406">
        <v>50000</v>
      </c>
      <c r="I45" s="527">
        <f t="shared" si="0"/>
        <v>0</v>
      </c>
      <c r="J45" s="527">
        <f t="shared" si="1"/>
        <v>42016.806722689078</v>
      </c>
    </row>
    <row r="46" spans="1:10" s="104" customFormat="1" ht="17.25" customHeight="1">
      <c r="A46" s="394">
        <v>45880</v>
      </c>
      <c r="B46" s="395" t="s">
        <v>403</v>
      </c>
      <c r="C46" s="409">
        <v>1857474</v>
      </c>
      <c r="D46" s="402" t="s">
        <v>398</v>
      </c>
      <c r="E46" s="404" t="s">
        <v>409</v>
      </c>
      <c r="F46" s="404" t="s">
        <v>410</v>
      </c>
      <c r="G46" s="410">
        <v>7300</v>
      </c>
      <c r="H46" s="406"/>
      <c r="I46" s="527">
        <f t="shared" si="0"/>
        <v>6134.453781512605</v>
      </c>
      <c r="J46" s="527">
        <f t="shared" si="1"/>
        <v>0</v>
      </c>
    </row>
    <row r="47" spans="1:10" s="104" customFormat="1" ht="17.25" customHeight="1">
      <c r="A47" s="394">
        <v>45882</v>
      </c>
      <c r="B47" s="395" t="s">
        <v>403</v>
      </c>
      <c r="C47" s="409">
        <v>784014207</v>
      </c>
      <c r="D47" s="402" t="s">
        <v>398</v>
      </c>
      <c r="E47" s="404" t="s">
        <v>433</v>
      </c>
      <c r="F47" s="517" t="s">
        <v>434</v>
      </c>
      <c r="G47" s="518">
        <v>5190</v>
      </c>
      <c r="H47" s="406"/>
      <c r="I47" s="527">
        <f t="shared" si="0"/>
        <v>4361.3445378151264</v>
      </c>
      <c r="J47" s="527">
        <f t="shared" si="1"/>
        <v>0</v>
      </c>
    </row>
    <row r="48" spans="1:10" s="104" customFormat="1" ht="17.25" customHeight="1">
      <c r="A48" s="394">
        <v>45880</v>
      </c>
      <c r="B48" s="395" t="s">
        <v>403</v>
      </c>
      <c r="C48" s="409">
        <v>62388013</v>
      </c>
      <c r="D48" s="402" t="s">
        <v>398</v>
      </c>
      <c r="E48" s="404" t="s">
        <v>414</v>
      </c>
      <c r="F48" s="517" t="s">
        <v>435</v>
      </c>
      <c r="G48" s="518">
        <v>20990</v>
      </c>
      <c r="H48" s="406"/>
      <c r="I48" s="527">
        <f t="shared" si="0"/>
        <v>17638.655462184874</v>
      </c>
      <c r="J48" s="527">
        <f t="shared" si="1"/>
        <v>0</v>
      </c>
    </row>
    <row r="49" spans="1:10" s="104" customFormat="1" ht="17.25" customHeight="1">
      <c r="A49" s="394">
        <v>45882</v>
      </c>
      <c r="B49" s="395" t="s">
        <v>403</v>
      </c>
      <c r="C49" s="409">
        <v>93703173</v>
      </c>
      <c r="D49" s="402" t="s">
        <v>398</v>
      </c>
      <c r="E49" s="404" t="s">
        <v>436</v>
      </c>
      <c r="F49" s="404" t="s">
        <v>435</v>
      </c>
      <c r="G49" s="410">
        <v>16900</v>
      </c>
      <c r="H49" s="406"/>
      <c r="I49" s="527">
        <f t="shared" si="0"/>
        <v>14201.680672268909</v>
      </c>
      <c r="J49" s="527">
        <f t="shared" si="1"/>
        <v>0</v>
      </c>
    </row>
    <row r="50" spans="1:10" s="104" customFormat="1" ht="17.25" customHeight="1">
      <c r="A50" s="394">
        <v>45882</v>
      </c>
      <c r="B50" s="395" t="s">
        <v>403</v>
      </c>
      <c r="C50" s="409">
        <v>31010</v>
      </c>
      <c r="D50" s="402" t="s">
        <v>398</v>
      </c>
      <c r="E50" s="404" t="s">
        <v>437</v>
      </c>
      <c r="F50" s="517" t="s">
        <v>438</v>
      </c>
      <c r="G50" s="518">
        <v>4770</v>
      </c>
      <c r="H50" s="406"/>
      <c r="I50" s="527">
        <f t="shared" si="0"/>
        <v>4008.4033613445381</v>
      </c>
      <c r="J50" s="527">
        <f t="shared" si="1"/>
        <v>0</v>
      </c>
    </row>
    <row r="51" spans="1:10" s="104" customFormat="1" ht="17.25" customHeight="1">
      <c r="A51" s="394">
        <v>45873</v>
      </c>
      <c r="B51" s="395" t="s">
        <v>396</v>
      </c>
      <c r="C51" s="409">
        <v>1336622</v>
      </c>
      <c r="D51" s="402" t="s">
        <v>398</v>
      </c>
      <c r="E51" s="404" t="s">
        <v>439</v>
      </c>
      <c r="F51" s="404" t="s">
        <v>440</v>
      </c>
      <c r="G51" s="410"/>
      <c r="H51" s="406">
        <v>36000</v>
      </c>
      <c r="I51" s="527">
        <f t="shared" si="0"/>
        <v>0</v>
      </c>
      <c r="J51" s="527">
        <f t="shared" si="1"/>
        <v>30252.100840336137</v>
      </c>
    </row>
    <row r="52" spans="1:10" s="104" customFormat="1" ht="17.25" customHeight="1">
      <c r="A52" s="394"/>
      <c r="B52" s="395"/>
      <c r="C52" s="409"/>
      <c r="D52" s="402"/>
      <c r="E52" s="404"/>
      <c r="F52" s="404"/>
      <c r="G52" s="410"/>
      <c r="H52" s="406"/>
      <c r="I52" s="527">
        <f t="shared" ref="I52:I83" si="2">G52/1.19</f>
        <v>0</v>
      </c>
      <c r="J52" s="527">
        <f t="shared" ref="J52:J83" si="3">H52/1.19</f>
        <v>0</v>
      </c>
    </row>
    <row r="53" spans="1:10" s="104" customFormat="1" ht="17.25" customHeight="1">
      <c r="A53" s="520"/>
      <c r="B53" s="521"/>
      <c r="C53" s="522"/>
      <c r="D53" s="523" t="s">
        <v>441</v>
      </c>
      <c r="E53" s="524"/>
      <c r="F53" s="524"/>
      <c r="G53" s="525"/>
      <c r="H53" s="526"/>
      <c r="I53" s="527">
        <f t="shared" si="2"/>
        <v>0</v>
      </c>
      <c r="J53" s="527">
        <f t="shared" si="3"/>
        <v>0</v>
      </c>
    </row>
    <row r="54" spans="1:10" s="104" customFormat="1" ht="17.25" customHeight="1">
      <c r="A54" s="394"/>
      <c r="B54" s="395"/>
      <c r="C54" s="409"/>
      <c r="D54" s="402"/>
      <c r="E54" s="404"/>
      <c r="F54" s="404"/>
      <c r="G54" s="410"/>
      <c r="H54" s="406"/>
      <c r="I54" s="527">
        <f t="shared" si="2"/>
        <v>0</v>
      </c>
      <c r="J54" s="527">
        <f t="shared" si="3"/>
        <v>0</v>
      </c>
    </row>
    <row r="55" spans="1:10" s="104" customFormat="1" ht="17.25" customHeight="1">
      <c r="A55" s="394"/>
      <c r="B55" s="395"/>
      <c r="C55" s="409"/>
      <c r="D55" s="402"/>
      <c r="E55" s="404"/>
      <c r="F55" s="404"/>
      <c r="G55" s="410"/>
      <c r="H55" s="406"/>
      <c r="I55" s="527">
        <f t="shared" si="2"/>
        <v>0</v>
      </c>
      <c r="J55" s="527">
        <f t="shared" si="3"/>
        <v>0</v>
      </c>
    </row>
    <row r="56" spans="1:10" s="104" customFormat="1" ht="17.25" customHeight="1">
      <c r="A56" s="394"/>
      <c r="B56" s="395"/>
      <c r="C56" s="409"/>
      <c r="D56" s="402"/>
      <c r="E56" s="404"/>
      <c r="F56" s="404"/>
      <c r="G56" s="410"/>
      <c r="H56" s="406"/>
      <c r="I56" s="527">
        <f t="shared" si="2"/>
        <v>0</v>
      </c>
      <c r="J56" s="527">
        <f t="shared" si="3"/>
        <v>0</v>
      </c>
    </row>
    <row r="57" spans="1:10" s="104" customFormat="1" ht="17.25" customHeight="1">
      <c r="A57" s="394"/>
      <c r="B57" s="395"/>
      <c r="C57" s="409"/>
      <c r="D57" s="402"/>
      <c r="E57" s="404"/>
      <c r="F57" s="404"/>
      <c r="G57" s="410"/>
      <c r="H57" s="406"/>
      <c r="I57" s="527">
        <f t="shared" si="2"/>
        <v>0</v>
      </c>
      <c r="J57" s="527">
        <f t="shared" si="3"/>
        <v>0</v>
      </c>
    </row>
    <row r="58" spans="1:10" s="104" customFormat="1" ht="17.25" customHeight="1">
      <c r="A58" s="394"/>
      <c r="B58" s="395"/>
      <c r="C58" s="409"/>
      <c r="D58" s="402"/>
      <c r="E58" s="404"/>
      <c r="F58" s="404"/>
      <c r="G58" s="410"/>
      <c r="H58" s="406"/>
      <c r="I58" s="527">
        <f t="shared" si="2"/>
        <v>0</v>
      </c>
      <c r="J58" s="527">
        <f t="shared" si="3"/>
        <v>0</v>
      </c>
    </row>
    <row r="59" spans="1:10" s="104" customFormat="1" ht="17.25" customHeight="1">
      <c r="A59" s="520"/>
      <c r="B59" s="521"/>
      <c r="C59" s="522"/>
      <c r="D59" s="523" t="s">
        <v>495</v>
      </c>
      <c r="E59" s="524"/>
      <c r="F59" s="524"/>
      <c r="G59" s="525"/>
      <c r="H59" s="526"/>
      <c r="I59" s="527">
        <f t="shared" si="2"/>
        <v>0</v>
      </c>
      <c r="J59" s="527">
        <f t="shared" si="3"/>
        <v>0</v>
      </c>
    </row>
    <row r="60" spans="1:10" s="104" customFormat="1" ht="17.25" customHeight="1">
      <c r="A60" s="394">
        <v>45895</v>
      </c>
      <c r="B60" s="395" t="s">
        <v>411</v>
      </c>
      <c r="C60" s="395">
        <v>1891651</v>
      </c>
      <c r="D60" s="402" t="s">
        <v>489</v>
      </c>
      <c r="E60" s="403" t="s">
        <v>409</v>
      </c>
      <c r="F60" s="404" t="s">
        <v>490</v>
      </c>
      <c r="G60" s="589">
        <v>2100</v>
      </c>
      <c r="H60" s="406"/>
      <c r="I60" s="527">
        <f t="shared" si="2"/>
        <v>1764.7058823529412</v>
      </c>
      <c r="J60" s="527">
        <f t="shared" si="3"/>
        <v>0</v>
      </c>
    </row>
    <row r="61" spans="1:10" s="104" customFormat="1" ht="17.25" customHeight="1">
      <c r="A61" s="394">
        <v>45896</v>
      </c>
      <c r="B61" s="395" t="s">
        <v>411</v>
      </c>
      <c r="C61" s="395">
        <v>1891872</v>
      </c>
      <c r="D61" s="402" t="s">
        <v>489</v>
      </c>
      <c r="E61" s="403" t="s">
        <v>409</v>
      </c>
      <c r="F61" s="404" t="s">
        <v>490</v>
      </c>
      <c r="G61" s="589">
        <v>7650</v>
      </c>
      <c r="H61" s="406"/>
      <c r="I61" s="527">
        <f t="shared" si="2"/>
        <v>6428.5714285714284</v>
      </c>
      <c r="J61" s="527">
        <f t="shared" si="3"/>
        <v>0</v>
      </c>
    </row>
    <row r="62" spans="1:10" s="104" customFormat="1" ht="17.25" customHeight="1">
      <c r="A62" s="394">
        <v>45895</v>
      </c>
      <c r="B62" s="395" t="s">
        <v>396</v>
      </c>
      <c r="C62" s="395">
        <v>325153</v>
      </c>
      <c r="D62" s="402" t="s">
        <v>489</v>
      </c>
      <c r="E62" s="403" t="s">
        <v>491</v>
      </c>
      <c r="F62" s="404" t="s">
        <v>492</v>
      </c>
      <c r="G62" s="589"/>
      <c r="H62" s="406">
        <v>40000</v>
      </c>
      <c r="I62" s="527">
        <f t="shared" si="2"/>
        <v>0</v>
      </c>
      <c r="J62" s="527">
        <f t="shared" si="3"/>
        <v>33613.445378151264</v>
      </c>
    </row>
    <row r="63" spans="1:10" s="104" customFormat="1" ht="17.25" customHeight="1">
      <c r="A63" s="394">
        <v>45894</v>
      </c>
      <c r="B63" s="395" t="s">
        <v>411</v>
      </c>
      <c r="C63" s="395">
        <v>1681441</v>
      </c>
      <c r="D63" s="402" t="s">
        <v>489</v>
      </c>
      <c r="E63" s="403" t="s">
        <v>409</v>
      </c>
      <c r="F63" s="404" t="s">
        <v>490</v>
      </c>
      <c r="G63" s="589">
        <v>9850</v>
      </c>
      <c r="H63" s="406"/>
      <c r="I63" s="527">
        <f t="shared" si="2"/>
        <v>8277.310924369749</v>
      </c>
      <c r="J63" s="527">
        <f t="shared" si="3"/>
        <v>0</v>
      </c>
    </row>
    <row r="64" spans="1:10" s="104" customFormat="1" ht="17.25" customHeight="1">
      <c r="A64" s="394">
        <v>45889</v>
      </c>
      <c r="B64" s="395" t="s">
        <v>411</v>
      </c>
      <c r="C64" s="395">
        <v>1420540</v>
      </c>
      <c r="D64" s="402" t="s">
        <v>489</v>
      </c>
      <c r="E64" s="403" t="s">
        <v>493</v>
      </c>
      <c r="F64" s="403" t="s">
        <v>494</v>
      </c>
      <c r="G64" s="589">
        <v>7890</v>
      </c>
      <c r="H64" s="406"/>
      <c r="I64" s="527">
        <f t="shared" si="2"/>
        <v>6630.2521008403364</v>
      </c>
      <c r="J64" s="527">
        <f t="shared" si="3"/>
        <v>0</v>
      </c>
    </row>
    <row r="65" spans="1:10" s="104" customFormat="1" ht="17.25" customHeight="1">
      <c r="A65" s="394">
        <v>45888</v>
      </c>
      <c r="B65" s="395" t="s">
        <v>411</v>
      </c>
      <c r="C65" s="395">
        <v>1419629</v>
      </c>
      <c r="D65" s="402" t="s">
        <v>489</v>
      </c>
      <c r="E65" s="403" t="s">
        <v>493</v>
      </c>
      <c r="F65" s="403" t="s">
        <v>494</v>
      </c>
      <c r="G65" s="589">
        <v>13500</v>
      </c>
      <c r="H65" s="406"/>
      <c r="I65" s="527">
        <f t="shared" si="2"/>
        <v>11344.53781512605</v>
      </c>
      <c r="J65" s="527">
        <f t="shared" si="3"/>
        <v>0</v>
      </c>
    </row>
    <row r="66" spans="1:10" s="104" customFormat="1" ht="17.25" customHeight="1">
      <c r="A66" s="394"/>
      <c r="B66" s="395"/>
      <c r="C66" s="407"/>
      <c r="D66" s="402"/>
      <c r="E66" s="403"/>
      <c r="F66" s="404"/>
      <c r="G66" s="589"/>
      <c r="H66" s="406"/>
      <c r="I66" s="527">
        <f t="shared" si="2"/>
        <v>0</v>
      </c>
      <c r="J66" s="527">
        <f t="shared" si="3"/>
        <v>0</v>
      </c>
    </row>
    <row r="67" spans="1:10" s="104" customFormat="1" ht="17.25" customHeight="1">
      <c r="A67" s="520"/>
      <c r="B67" s="521"/>
      <c r="C67" s="522"/>
      <c r="D67" s="523" t="s">
        <v>496</v>
      </c>
      <c r="E67" s="524"/>
      <c r="F67" s="524"/>
      <c r="G67" s="525"/>
      <c r="H67" s="526"/>
      <c r="I67" s="527">
        <f t="shared" si="2"/>
        <v>0</v>
      </c>
      <c r="J67" s="527">
        <f t="shared" si="3"/>
        <v>0</v>
      </c>
    </row>
    <row r="68" spans="1:10" s="104" customFormat="1" ht="17.25" customHeight="1">
      <c r="A68" s="394">
        <v>45898</v>
      </c>
      <c r="B68" s="395" t="s">
        <v>396</v>
      </c>
      <c r="C68" s="407">
        <v>141955347</v>
      </c>
      <c r="D68" s="402" t="s">
        <v>497</v>
      </c>
      <c r="E68" s="403" t="s">
        <v>419</v>
      </c>
      <c r="F68" s="404" t="s">
        <v>498</v>
      </c>
      <c r="G68" s="589"/>
      <c r="H68" s="406">
        <v>7546</v>
      </c>
      <c r="I68" s="527">
        <f t="shared" si="2"/>
        <v>0</v>
      </c>
      <c r="J68" s="527">
        <f t="shared" si="3"/>
        <v>6341.1764705882351</v>
      </c>
    </row>
    <row r="69" spans="1:10" s="104" customFormat="1" ht="17.25" customHeight="1">
      <c r="A69" s="394">
        <v>45902</v>
      </c>
      <c r="B69" s="395" t="s">
        <v>396</v>
      </c>
      <c r="C69" s="407">
        <v>142032461</v>
      </c>
      <c r="D69" s="402" t="s">
        <v>497</v>
      </c>
      <c r="E69" s="403" t="s">
        <v>419</v>
      </c>
      <c r="F69" s="404" t="s">
        <v>499</v>
      </c>
      <c r="G69" s="589"/>
      <c r="H69" s="406">
        <v>12864</v>
      </c>
      <c r="I69" s="527">
        <f t="shared" si="2"/>
        <v>0</v>
      </c>
      <c r="J69" s="527">
        <f t="shared" si="3"/>
        <v>10810.084033613446</v>
      </c>
    </row>
    <row r="70" spans="1:10" s="104" customFormat="1" ht="17.25" customHeight="1">
      <c r="A70" s="394">
        <v>45897</v>
      </c>
      <c r="B70" s="395" t="s">
        <v>396</v>
      </c>
      <c r="C70" s="407">
        <v>142032232</v>
      </c>
      <c r="D70" s="402" t="s">
        <v>497</v>
      </c>
      <c r="E70" s="403" t="s">
        <v>419</v>
      </c>
      <c r="F70" s="404" t="s">
        <v>500</v>
      </c>
      <c r="G70" s="589"/>
      <c r="H70" s="406">
        <v>5910</v>
      </c>
      <c r="I70" s="527">
        <f t="shared" si="2"/>
        <v>0</v>
      </c>
      <c r="J70" s="527">
        <f t="shared" si="3"/>
        <v>4966.3865546218485</v>
      </c>
    </row>
    <row r="71" spans="1:10" s="104" customFormat="1" ht="17.25" customHeight="1">
      <c r="A71" s="590">
        <v>45895</v>
      </c>
      <c r="B71" s="591" t="s">
        <v>411</v>
      </c>
      <c r="C71" s="407">
        <v>1900828</v>
      </c>
      <c r="D71" s="402" t="s">
        <v>497</v>
      </c>
      <c r="E71" s="403" t="s">
        <v>501</v>
      </c>
      <c r="F71" s="404" t="s">
        <v>502</v>
      </c>
      <c r="G71" s="592">
        <v>4950</v>
      </c>
      <c r="H71" s="593"/>
      <c r="I71" s="527">
        <f t="shared" si="2"/>
        <v>4159.6638655462184</v>
      </c>
      <c r="J71" s="527">
        <f t="shared" si="3"/>
        <v>0</v>
      </c>
    </row>
    <row r="72" spans="1:10" s="104" customFormat="1" ht="17.25" customHeight="1">
      <c r="A72" s="590">
        <v>45891</v>
      </c>
      <c r="B72" s="591" t="s">
        <v>396</v>
      </c>
      <c r="C72" s="409">
        <v>141975974</v>
      </c>
      <c r="D72" s="412" t="s">
        <v>497</v>
      </c>
      <c r="E72" s="404" t="s">
        <v>419</v>
      </c>
      <c r="F72" s="404" t="s">
        <v>503</v>
      </c>
      <c r="G72" s="594"/>
      <c r="H72" s="593">
        <v>20729</v>
      </c>
      <c r="I72" s="527">
        <f t="shared" si="2"/>
        <v>0</v>
      </c>
      <c r="J72" s="527">
        <f t="shared" si="3"/>
        <v>17419.327731092439</v>
      </c>
    </row>
    <row r="73" spans="1:10" s="104" customFormat="1" ht="17.25" customHeight="1">
      <c r="A73" s="595">
        <v>45894</v>
      </c>
      <c r="B73" s="596" t="s">
        <v>411</v>
      </c>
      <c r="C73" s="409">
        <v>798745739</v>
      </c>
      <c r="D73" s="412" t="s">
        <v>497</v>
      </c>
      <c r="E73" s="404" t="s">
        <v>419</v>
      </c>
      <c r="F73" s="404" t="s">
        <v>504</v>
      </c>
      <c r="G73" s="594">
        <v>1590</v>
      </c>
      <c r="H73" s="593"/>
      <c r="I73" s="527">
        <f t="shared" si="2"/>
        <v>1336.1344537815128</v>
      </c>
      <c r="J73" s="527">
        <f t="shared" si="3"/>
        <v>0</v>
      </c>
    </row>
    <row r="74" spans="1:10" s="104" customFormat="1" ht="17.25" customHeight="1">
      <c r="A74" s="595">
        <v>45897</v>
      </c>
      <c r="B74" s="596" t="s">
        <v>411</v>
      </c>
      <c r="C74" s="409">
        <v>798471395</v>
      </c>
      <c r="D74" s="412" t="s">
        <v>497</v>
      </c>
      <c r="E74" s="404" t="s">
        <v>419</v>
      </c>
      <c r="F74" s="404" t="s">
        <v>505</v>
      </c>
      <c r="G74" s="594">
        <v>1490</v>
      </c>
      <c r="H74" s="593"/>
      <c r="I74" s="527">
        <f t="shared" si="2"/>
        <v>1252.1008403361345</v>
      </c>
      <c r="J74" s="527">
        <f t="shared" si="3"/>
        <v>0</v>
      </c>
    </row>
    <row r="75" spans="1:10" s="104" customFormat="1" ht="17.25" customHeight="1">
      <c r="A75" s="595">
        <v>45896</v>
      </c>
      <c r="B75" s="596" t="s">
        <v>396</v>
      </c>
      <c r="C75" s="409">
        <v>141955300</v>
      </c>
      <c r="D75" s="412" t="s">
        <v>497</v>
      </c>
      <c r="E75" s="404" t="s">
        <v>419</v>
      </c>
      <c r="F75" s="404" t="s">
        <v>506</v>
      </c>
      <c r="G75" s="594"/>
      <c r="H75" s="593">
        <v>3664</v>
      </c>
      <c r="I75" s="527">
        <f t="shared" si="2"/>
        <v>0</v>
      </c>
      <c r="J75" s="527">
        <f t="shared" si="3"/>
        <v>3078.9915966386557</v>
      </c>
    </row>
    <row r="76" spans="1:10" s="104" customFormat="1" ht="17.25" customHeight="1">
      <c r="A76" s="520"/>
      <c r="B76" s="521"/>
      <c r="C76" s="522"/>
      <c r="D76" s="523" t="s">
        <v>507</v>
      </c>
      <c r="E76" s="524"/>
      <c r="F76" s="524"/>
      <c r="G76" s="525"/>
      <c r="H76" s="526"/>
      <c r="I76" s="527">
        <f t="shared" si="2"/>
        <v>0</v>
      </c>
      <c r="J76" s="527">
        <f t="shared" si="3"/>
        <v>0</v>
      </c>
    </row>
    <row r="77" spans="1:10" s="104" customFormat="1" ht="17.25" customHeight="1">
      <c r="A77" s="394">
        <v>45888</v>
      </c>
      <c r="B77" s="395" t="s">
        <v>396</v>
      </c>
      <c r="C77" s="395">
        <v>141838119</v>
      </c>
      <c r="D77" s="402" t="s">
        <v>508</v>
      </c>
      <c r="E77" s="403" t="s">
        <v>419</v>
      </c>
      <c r="F77" s="404" t="s">
        <v>509</v>
      </c>
      <c r="G77" s="589"/>
      <c r="H77" s="406">
        <v>12934</v>
      </c>
      <c r="I77" s="527">
        <f t="shared" si="2"/>
        <v>0</v>
      </c>
      <c r="J77" s="527">
        <f t="shared" si="3"/>
        <v>10868.90756302521</v>
      </c>
    </row>
    <row r="78" spans="1:10" s="104" customFormat="1" ht="17.25" customHeight="1">
      <c r="A78" s="394">
        <v>45883</v>
      </c>
      <c r="B78" s="395" t="s">
        <v>396</v>
      </c>
      <c r="C78" s="395">
        <v>141838003</v>
      </c>
      <c r="D78" s="402" t="s">
        <v>508</v>
      </c>
      <c r="E78" s="403" t="s">
        <v>419</v>
      </c>
      <c r="F78" s="404" t="s">
        <v>510</v>
      </c>
      <c r="G78" s="589"/>
      <c r="H78" s="406">
        <v>10023</v>
      </c>
      <c r="I78" s="527">
        <f t="shared" si="2"/>
        <v>0</v>
      </c>
      <c r="J78" s="527">
        <f t="shared" si="3"/>
        <v>8422.6890756302528</v>
      </c>
    </row>
    <row r="79" spans="1:10" s="104" customFormat="1" ht="17.25" customHeight="1">
      <c r="A79" s="394">
        <v>45887</v>
      </c>
      <c r="B79" s="395" t="s">
        <v>396</v>
      </c>
      <c r="C79" s="395">
        <v>141810074</v>
      </c>
      <c r="D79" s="402" t="s">
        <v>508</v>
      </c>
      <c r="E79" s="403" t="s">
        <v>419</v>
      </c>
      <c r="F79" s="404" t="s">
        <v>509</v>
      </c>
      <c r="G79" s="589"/>
      <c r="H79" s="406">
        <v>11835</v>
      </c>
      <c r="I79" s="527">
        <f t="shared" si="2"/>
        <v>0</v>
      </c>
      <c r="J79" s="527">
        <f t="shared" si="3"/>
        <v>9945.3781512605055</v>
      </c>
    </row>
    <row r="80" spans="1:10" s="104" customFormat="1" ht="17.25" customHeight="1">
      <c r="A80" s="394">
        <v>45883</v>
      </c>
      <c r="B80" s="395" t="s">
        <v>396</v>
      </c>
      <c r="C80" s="395">
        <v>141760676</v>
      </c>
      <c r="D80" s="402" t="s">
        <v>508</v>
      </c>
      <c r="E80" s="403" t="s">
        <v>419</v>
      </c>
      <c r="F80" s="404" t="s">
        <v>509</v>
      </c>
      <c r="G80" s="589"/>
      <c r="H80" s="406">
        <v>93905</v>
      </c>
      <c r="I80" s="527">
        <f t="shared" si="2"/>
        <v>0</v>
      </c>
      <c r="J80" s="527">
        <f t="shared" si="3"/>
        <v>78911.76470588235</v>
      </c>
    </row>
    <row r="81" spans="1:10" s="104" customFormat="1" ht="17.25" customHeight="1">
      <c r="A81" s="394">
        <v>45910</v>
      </c>
      <c r="B81" s="395" t="s">
        <v>396</v>
      </c>
      <c r="C81" s="407">
        <v>21553200</v>
      </c>
      <c r="D81" s="402" t="s">
        <v>508</v>
      </c>
      <c r="E81" s="403" t="s">
        <v>511</v>
      </c>
      <c r="F81" s="404" t="s">
        <v>512</v>
      </c>
      <c r="G81" s="589"/>
      <c r="H81" s="406">
        <v>60000</v>
      </c>
      <c r="I81" s="527">
        <f t="shared" si="2"/>
        <v>0</v>
      </c>
      <c r="J81" s="527">
        <f t="shared" si="3"/>
        <v>50420.168067226892</v>
      </c>
    </row>
    <row r="82" spans="1:10" s="104" customFormat="1" ht="17.25" customHeight="1">
      <c r="A82" s="394">
        <v>45910</v>
      </c>
      <c r="B82" s="395" t="s">
        <v>411</v>
      </c>
      <c r="C82" s="407">
        <v>62395972</v>
      </c>
      <c r="D82" s="402" t="s">
        <v>508</v>
      </c>
      <c r="E82" s="403" t="s">
        <v>414</v>
      </c>
      <c r="F82" s="404" t="s">
        <v>513</v>
      </c>
      <c r="G82" s="589">
        <v>7300</v>
      </c>
      <c r="H82" s="406"/>
      <c r="I82" s="527">
        <f t="shared" si="2"/>
        <v>6134.453781512605</v>
      </c>
      <c r="J82" s="527">
        <f t="shared" si="3"/>
        <v>0</v>
      </c>
    </row>
    <row r="83" spans="1:10" s="104" customFormat="1" ht="17.25" customHeight="1">
      <c r="A83" s="394">
        <v>45889</v>
      </c>
      <c r="B83" s="395" t="s">
        <v>411</v>
      </c>
      <c r="C83" s="407">
        <v>1859803</v>
      </c>
      <c r="D83" s="402" t="s">
        <v>508</v>
      </c>
      <c r="E83" s="403" t="s">
        <v>501</v>
      </c>
      <c r="F83" s="404" t="s">
        <v>502</v>
      </c>
      <c r="G83" s="589">
        <v>7450</v>
      </c>
      <c r="H83" s="406"/>
      <c r="I83" s="527">
        <f t="shared" si="2"/>
        <v>6260.5042016806728</v>
      </c>
      <c r="J83" s="527">
        <f t="shared" si="3"/>
        <v>0</v>
      </c>
    </row>
    <row r="84" spans="1:10" s="104" customFormat="1" ht="17.25" customHeight="1">
      <c r="A84" s="394">
        <v>45889</v>
      </c>
      <c r="B84" s="395" t="s">
        <v>396</v>
      </c>
      <c r="C84" s="407">
        <v>10793671</v>
      </c>
      <c r="D84" s="402" t="s">
        <v>508</v>
      </c>
      <c r="E84" s="403" t="s">
        <v>433</v>
      </c>
      <c r="F84" s="404" t="s">
        <v>513</v>
      </c>
      <c r="G84" s="589"/>
      <c r="H84" s="406">
        <v>13190</v>
      </c>
      <c r="I84" s="527">
        <f t="shared" ref="I84:I114" si="4">G84/1.19</f>
        <v>0</v>
      </c>
      <c r="J84" s="527">
        <f t="shared" ref="J84:J114" si="5">H84/1.19</f>
        <v>11084.033613445379</v>
      </c>
    </row>
    <row r="85" spans="1:10" s="104" customFormat="1" ht="17.25" customHeight="1">
      <c r="A85" s="520"/>
      <c r="B85" s="521"/>
      <c r="C85" s="522"/>
      <c r="D85" s="523" t="s">
        <v>548</v>
      </c>
      <c r="E85" s="524"/>
      <c r="F85" s="524"/>
      <c r="G85" s="525"/>
      <c r="H85" s="526"/>
      <c r="I85" s="527">
        <f t="shared" si="4"/>
        <v>0</v>
      </c>
      <c r="J85" s="527">
        <f t="shared" si="5"/>
        <v>0</v>
      </c>
    </row>
    <row r="86" spans="1:10" s="104" customFormat="1" ht="17.25" customHeight="1">
      <c r="A86" s="394">
        <v>45915</v>
      </c>
      <c r="B86" s="395" t="s">
        <v>411</v>
      </c>
      <c r="C86" s="395">
        <v>101638</v>
      </c>
      <c r="D86" s="402" t="s">
        <v>489</v>
      </c>
      <c r="E86" s="403" t="s">
        <v>526</v>
      </c>
      <c r="F86" s="403" t="s">
        <v>527</v>
      </c>
      <c r="G86" s="589">
        <v>40000</v>
      </c>
      <c r="H86" s="406"/>
      <c r="I86" s="527">
        <f t="shared" si="4"/>
        <v>33613.445378151264</v>
      </c>
      <c r="J86" s="527">
        <f t="shared" si="5"/>
        <v>0</v>
      </c>
    </row>
    <row r="87" spans="1:10" s="104" customFormat="1" ht="17.25" customHeight="1">
      <c r="A87" s="394">
        <v>45908</v>
      </c>
      <c r="B87" s="395" t="s">
        <v>411</v>
      </c>
      <c r="C87" s="395">
        <v>55697993</v>
      </c>
      <c r="D87" s="402" t="s">
        <v>489</v>
      </c>
      <c r="E87" s="403" t="s">
        <v>423</v>
      </c>
      <c r="F87" s="403" t="s">
        <v>528</v>
      </c>
      <c r="G87" s="589">
        <v>6080</v>
      </c>
      <c r="H87" s="406"/>
      <c r="I87" s="527">
        <f t="shared" si="4"/>
        <v>5109.2436974789916</v>
      </c>
      <c r="J87" s="527">
        <f t="shared" si="5"/>
        <v>0</v>
      </c>
    </row>
    <row r="88" spans="1:10" s="104" customFormat="1" ht="17.25" customHeight="1">
      <c r="A88" s="394">
        <v>45915</v>
      </c>
      <c r="B88" s="395" t="s">
        <v>411</v>
      </c>
      <c r="C88" s="395">
        <v>1897394</v>
      </c>
      <c r="D88" s="402" t="s">
        <v>489</v>
      </c>
      <c r="E88" s="403" t="s">
        <v>501</v>
      </c>
      <c r="F88" s="404" t="s">
        <v>502</v>
      </c>
      <c r="G88" s="589">
        <v>3800</v>
      </c>
      <c r="H88" s="406"/>
      <c r="I88" s="527">
        <f t="shared" si="4"/>
        <v>3193.2773109243699</v>
      </c>
      <c r="J88" s="527">
        <f t="shared" si="5"/>
        <v>0</v>
      </c>
    </row>
    <row r="89" spans="1:10" s="104" customFormat="1" ht="17.25" customHeight="1">
      <c r="A89" s="394">
        <v>45908</v>
      </c>
      <c r="B89" s="395" t="s">
        <v>411</v>
      </c>
      <c r="C89" s="395">
        <v>1895404</v>
      </c>
      <c r="D89" s="402" t="s">
        <v>489</v>
      </c>
      <c r="E89" s="403" t="s">
        <v>501</v>
      </c>
      <c r="F89" s="404" t="s">
        <v>502</v>
      </c>
      <c r="G89" s="589">
        <v>8100</v>
      </c>
      <c r="H89" s="406"/>
      <c r="I89" s="527">
        <f t="shared" si="4"/>
        <v>6806.7226890756301</v>
      </c>
      <c r="J89" s="527">
        <f t="shared" si="5"/>
        <v>0</v>
      </c>
    </row>
    <row r="90" spans="1:10" s="104" customFormat="1" ht="17.25" customHeight="1">
      <c r="A90" s="394">
        <v>45912</v>
      </c>
      <c r="B90" s="395" t="s">
        <v>411</v>
      </c>
      <c r="C90" s="395">
        <v>1896431</v>
      </c>
      <c r="D90" s="402" t="s">
        <v>489</v>
      </c>
      <c r="E90" s="403" t="s">
        <v>501</v>
      </c>
      <c r="F90" s="404" t="s">
        <v>502</v>
      </c>
      <c r="G90" s="589">
        <v>5800</v>
      </c>
      <c r="H90" s="406"/>
      <c r="I90" s="527">
        <f t="shared" si="4"/>
        <v>4873.9495798319331</v>
      </c>
      <c r="J90" s="527">
        <f t="shared" si="5"/>
        <v>0</v>
      </c>
    </row>
    <row r="91" spans="1:10" s="104" customFormat="1" ht="17.25" customHeight="1">
      <c r="A91" s="394">
        <v>45911</v>
      </c>
      <c r="B91" s="395" t="s">
        <v>396</v>
      </c>
      <c r="C91" s="395">
        <v>327100</v>
      </c>
      <c r="D91" s="402" t="s">
        <v>489</v>
      </c>
      <c r="E91" s="403" t="s">
        <v>491</v>
      </c>
      <c r="F91" s="404" t="s">
        <v>492</v>
      </c>
      <c r="G91" s="589"/>
      <c r="H91" s="406">
        <v>40000</v>
      </c>
      <c r="I91" s="527">
        <f t="shared" si="4"/>
        <v>0</v>
      </c>
      <c r="J91" s="527">
        <f t="shared" si="5"/>
        <v>33613.445378151264</v>
      </c>
    </row>
    <row r="92" spans="1:10" s="104" customFormat="1" ht="17.25" customHeight="1">
      <c r="A92" s="394">
        <v>45912</v>
      </c>
      <c r="B92" s="395" t="s">
        <v>396</v>
      </c>
      <c r="C92" s="407">
        <v>142232617</v>
      </c>
      <c r="D92" s="402" t="s">
        <v>489</v>
      </c>
      <c r="E92" s="403" t="s">
        <v>419</v>
      </c>
      <c r="F92" s="404" t="s">
        <v>529</v>
      </c>
      <c r="G92" s="589"/>
      <c r="H92" s="406">
        <v>3960</v>
      </c>
      <c r="I92" s="527">
        <f t="shared" si="4"/>
        <v>0</v>
      </c>
      <c r="J92" s="527">
        <f t="shared" si="5"/>
        <v>3327.7310924369749</v>
      </c>
    </row>
    <row r="93" spans="1:10" s="104" customFormat="1" ht="17.25" customHeight="1">
      <c r="A93" s="394">
        <v>45915</v>
      </c>
      <c r="B93" s="395" t="s">
        <v>396</v>
      </c>
      <c r="C93" s="407">
        <v>327400</v>
      </c>
      <c r="D93" s="402" t="s">
        <v>489</v>
      </c>
      <c r="E93" s="403" t="s">
        <v>491</v>
      </c>
      <c r="F93" s="404" t="s">
        <v>492</v>
      </c>
      <c r="G93" s="589"/>
      <c r="H93" s="406">
        <v>20000</v>
      </c>
      <c r="I93" s="527">
        <f t="shared" si="4"/>
        <v>0</v>
      </c>
      <c r="J93" s="527">
        <f t="shared" si="5"/>
        <v>16806.722689075632</v>
      </c>
    </row>
    <row r="94" spans="1:10" s="104" customFormat="1" ht="17.25" customHeight="1">
      <c r="A94" s="394">
        <v>45908</v>
      </c>
      <c r="B94" s="395" t="s">
        <v>396</v>
      </c>
      <c r="C94" s="407">
        <v>142232535</v>
      </c>
      <c r="D94" s="402" t="s">
        <v>489</v>
      </c>
      <c r="E94" s="403" t="s">
        <v>419</v>
      </c>
      <c r="F94" s="404" t="s">
        <v>530</v>
      </c>
      <c r="G94" s="589"/>
      <c r="H94" s="406">
        <v>12270</v>
      </c>
      <c r="I94" s="527">
        <f t="shared" si="4"/>
        <v>0</v>
      </c>
      <c r="J94" s="527">
        <f t="shared" si="5"/>
        <v>10310.9243697479</v>
      </c>
    </row>
    <row r="95" spans="1:10" s="104" customFormat="1" ht="17.25" customHeight="1">
      <c r="A95" s="394">
        <v>45910</v>
      </c>
      <c r="B95" s="395" t="s">
        <v>411</v>
      </c>
      <c r="C95" s="407">
        <v>1895929</v>
      </c>
      <c r="D95" s="402" t="s">
        <v>508</v>
      </c>
      <c r="E95" s="403" t="s">
        <v>501</v>
      </c>
      <c r="F95" s="404" t="s">
        <v>502</v>
      </c>
      <c r="G95" s="589">
        <v>5850</v>
      </c>
      <c r="H95" s="406"/>
      <c r="I95" s="527">
        <f t="shared" si="4"/>
        <v>4915.9663865546217</v>
      </c>
      <c r="J95" s="527">
        <f t="shared" si="5"/>
        <v>0</v>
      </c>
    </row>
    <row r="96" spans="1:10" s="104" customFormat="1" ht="17.25" customHeight="1">
      <c r="A96" s="394">
        <v>45917</v>
      </c>
      <c r="B96" s="395" t="s">
        <v>411</v>
      </c>
      <c r="C96" s="407">
        <v>780310995</v>
      </c>
      <c r="D96" s="402" t="s">
        <v>508</v>
      </c>
      <c r="E96" s="403" t="s">
        <v>433</v>
      </c>
      <c r="F96" s="404" t="s">
        <v>531</v>
      </c>
      <c r="G96" s="589">
        <v>10245</v>
      </c>
      <c r="H96" s="406"/>
      <c r="I96" s="527">
        <f t="shared" si="4"/>
        <v>8609.2436974789925</v>
      </c>
      <c r="J96" s="527">
        <f t="shared" si="5"/>
        <v>0</v>
      </c>
    </row>
    <row r="97" spans="1:10" s="104" customFormat="1" ht="17.25" customHeight="1">
      <c r="A97" s="394">
        <v>45910</v>
      </c>
      <c r="B97" s="395" t="s">
        <v>396</v>
      </c>
      <c r="C97" s="407">
        <v>141945137</v>
      </c>
      <c r="D97" s="402" t="s">
        <v>508</v>
      </c>
      <c r="E97" s="403" t="s">
        <v>419</v>
      </c>
      <c r="F97" s="404" t="s">
        <v>532</v>
      </c>
      <c r="G97" s="589"/>
      <c r="H97" s="406">
        <v>8821</v>
      </c>
      <c r="I97" s="527">
        <f t="shared" si="4"/>
        <v>0</v>
      </c>
      <c r="J97" s="527">
        <f t="shared" si="5"/>
        <v>7412.6050420168067</v>
      </c>
    </row>
    <row r="98" spans="1:10" s="104" customFormat="1" ht="17.25" customHeight="1">
      <c r="A98" s="394">
        <v>45886</v>
      </c>
      <c r="B98" s="395" t="s">
        <v>411</v>
      </c>
      <c r="C98" s="407">
        <v>1897993</v>
      </c>
      <c r="D98" s="402" t="s">
        <v>508</v>
      </c>
      <c r="E98" s="403" t="s">
        <v>501</v>
      </c>
      <c r="F98" s="404" t="s">
        <v>502</v>
      </c>
      <c r="G98" s="589">
        <v>1650</v>
      </c>
      <c r="H98" s="406"/>
      <c r="I98" s="527">
        <f t="shared" si="4"/>
        <v>1386.5546218487395</v>
      </c>
      <c r="J98" s="527">
        <f t="shared" si="5"/>
        <v>0</v>
      </c>
    </row>
    <row r="99" spans="1:10" s="104" customFormat="1" ht="17.25" customHeight="1">
      <c r="A99" s="394">
        <v>45917</v>
      </c>
      <c r="B99" s="395" t="s">
        <v>396</v>
      </c>
      <c r="C99" s="407">
        <v>766104</v>
      </c>
      <c r="D99" s="402" t="s">
        <v>508</v>
      </c>
      <c r="E99" s="403" t="s">
        <v>533</v>
      </c>
      <c r="F99" s="404" t="s">
        <v>492</v>
      </c>
      <c r="G99" s="589"/>
      <c r="H99" s="406">
        <v>40000</v>
      </c>
      <c r="I99" s="527">
        <f t="shared" si="4"/>
        <v>0</v>
      </c>
      <c r="J99" s="527">
        <f t="shared" si="5"/>
        <v>33613.445378151264</v>
      </c>
    </row>
    <row r="100" spans="1:10" s="104" customFormat="1" ht="17.25" customHeight="1">
      <c r="A100" s="394">
        <v>45911</v>
      </c>
      <c r="B100" s="395" t="s">
        <v>396</v>
      </c>
      <c r="C100" s="407">
        <v>142307184</v>
      </c>
      <c r="D100" s="402" t="s">
        <v>497</v>
      </c>
      <c r="E100" s="403" t="s">
        <v>419</v>
      </c>
      <c r="F100" s="404" t="s">
        <v>534</v>
      </c>
      <c r="G100" s="589"/>
      <c r="H100" s="406">
        <v>9666</v>
      </c>
      <c r="I100" s="527">
        <f t="shared" si="4"/>
        <v>0</v>
      </c>
      <c r="J100" s="527">
        <f t="shared" si="5"/>
        <v>8122.6890756302528</v>
      </c>
    </row>
    <row r="101" spans="1:10" s="104" customFormat="1" ht="17.25" customHeight="1">
      <c r="A101" s="394">
        <v>45916</v>
      </c>
      <c r="B101" s="395" t="s">
        <v>396</v>
      </c>
      <c r="C101" s="407">
        <v>142012664</v>
      </c>
      <c r="D101" s="402" t="s">
        <v>497</v>
      </c>
      <c r="E101" s="403" t="s">
        <v>419</v>
      </c>
      <c r="F101" s="404" t="s">
        <v>535</v>
      </c>
      <c r="G101" s="589"/>
      <c r="H101" s="406">
        <v>2490</v>
      </c>
      <c r="I101" s="527">
        <f t="shared" si="4"/>
        <v>0</v>
      </c>
      <c r="J101" s="527">
        <f t="shared" si="5"/>
        <v>2092.4369747899159</v>
      </c>
    </row>
    <row r="102" spans="1:10" s="104" customFormat="1" ht="17.25" customHeight="1">
      <c r="A102" s="394">
        <v>45908</v>
      </c>
      <c r="B102" s="395" t="s">
        <v>396</v>
      </c>
      <c r="C102" s="407">
        <v>142232541</v>
      </c>
      <c r="D102" s="402" t="s">
        <v>497</v>
      </c>
      <c r="E102" s="403" t="s">
        <v>419</v>
      </c>
      <c r="F102" s="404" t="s">
        <v>534</v>
      </c>
      <c r="G102" s="589"/>
      <c r="H102" s="406">
        <v>6361</v>
      </c>
      <c r="I102" s="527">
        <f t="shared" si="4"/>
        <v>0</v>
      </c>
      <c r="J102" s="527">
        <f t="shared" si="5"/>
        <v>5345.3781512605046</v>
      </c>
    </row>
    <row r="103" spans="1:10" s="104" customFormat="1" ht="17.25" customHeight="1">
      <c r="A103" s="394">
        <v>45924</v>
      </c>
      <c r="B103" s="395" t="s">
        <v>411</v>
      </c>
      <c r="C103" s="407">
        <v>10972</v>
      </c>
      <c r="D103" s="402" t="s">
        <v>508</v>
      </c>
      <c r="E103" s="403" t="s">
        <v>536</v>
      </c>
      <c r="F103" s="404" t="s">
        <v>537</v>
      </c>
      <c r="G103" s="589">
        <v>22000</v>
      </c>
      <c r="H103" s="406"/>
      <c r="I103" s="527">
        <f t="shared" si="4"/>
        <v>18487.394957983193</v>
      </c>
      <c r="J103" s="527">
        <f t="shared" si="5"/>
        <v>0</v>
      </c>
    </row>
    <row r="104" spans="1:10" s="104" customFormat="1" ht="17.25" customHeight="1">
      <c r="A104" s="394">
        <v>45924</v>
      </c>
      <c r="B104" s="395" t="s">
        <v>396</v>
      </c>
      <c r="C104" s="407">
        <v>21648500</v>
      </c>
      <c r="D104" s="402" t="s">
        <v>508</v>
      </c>
      <c r="E104" s="403" t="s">
        <v>538</v>
      </c>
      <c r="F104" s="404" t="s">
        <v>539</v>
      </c>
      <c r="G104" s="589"/>
      <c r="H104" s="406">
        <v>40000</v>
      </c>
      <c r="I104" s="527">
        <f t="shared" si="4"/>
        <v>0</v>
      </c>
      <c r="J104" s="527">
        <f t="shared" si="5"/>
        <v>33613.445378151264</v>
      </c>
    </row>
    <row r="105" spans="1:10" s="104" customFormat="1" ht="17.25" customHeight="1">
      <c r="A105" s="394">
        <v>45925</v>
      </c>
      <c r="B105" s="395" t="s">
        <v>396</v>
      </c>
      <c r="C105" s="407">
        <v>14247898</v>
      </c>
      <c r="D105" s="402" t="s">
        <v>508</v>
      </c>
      <c r="E105" s="403" t="s">
        <v>419</v>
      </c>
      <c r="F105" s="404" t="s">
        <v>540</v>
      </c>
      <c r="G105" s="589"/>
      <c r="H105" s="406">
        <v>11970</v>
      </c>
      <c r="I105" s="527">
        <f t="shared" si="4"/>
        <v>0</v>
      </c>
      <c r="J105" s="527">
        <f t="shared" si="5"/>
        <v>10058.823529411766</v>
      </c>
    </row>
    <row r="106" spans="1:10" s="104" customFormat="1" ht="17.25" customHeight="1">
      <c r="A106" s="394">
        <v>45925</v>
      </c>
      <c r="B106" s="395" t="s">
        <v>396</v>
      </c>
      <c r="C106" s="407">
        <v>142033273</v>
      </c>
      <c r="D106" s="402" t="s">
        <v>497</v>
      </c>
      <c r="E106" s="403" t="s">
        <v>419</v>
      </c>
      <c r="F106" s="404" t="s">
        <v>509</v>
      </c>
      <c r="G106" s="589"/>
      <c r="H106" s="406">
        <v>11194</v>
      </c>
      <c r="I106" s="527">
        <f t="shared" si="4"/>
        <v>0</v>
      </c>
      <c r="J106" s="527">
        <f t="shared" si="5"/>
        <v>9406.7226890756301</v>
      </c>
    </row>
    <row r="107" spans="1:10" s="104" customFormat="1" ht="17.25" customHeight="1">
      <c r="A107" s="394">
        <v>45925</v>
      </c>
      <c r="B107" s="395" t="s">
        <v>411</v>
      </c>
      <c r="C107" s="407">
        <v>1899182</v>
      </c>
      <c r="D107" s="402" t="s">
        <v>508</v>
      </c>
      <c r="E107" s="403" t="s">
        <v>501</v>
      </c>
      <c r="F107" s="404" t="s">
        <v>502</v>
      </c>
      <c r="G107" s="589">
        <v>3400</v>
      </c>
      <c r="H107" s="406"/>
      <c r="I107" s="527">
        <f t="shared" si="4"/>
        <v>2857.1428571428573</v>
      </c>
      <c r="J107" s="527">
        <f t="shared" si="5"/>
        <v>0</v>
      </c>
    </row>
    <row r="108" spans="1:10" s="104" customFormat="1" ht="17.25" customHeight="1">
      <c r="A108" s="394">
        <v>45925</v>
      </c>
      <c r="B108" s="395" t="s">
        <v>396</v>
      </c>
      <c r="C108" s="407">
        <v>142468675</v>
      </c>
      <c r="D108" s="402" t="s">
        <v>508</v>
      </c>
      <c r="E108" s="403" t="s">
        <v>419</v>
      </c>
      <c r="F108" s="404" t="s">
        <v>509</v>
      </c>
      <c r="G108" s="589"/>
      <c r="H108" s="406">
        <v>53670</v>
      </c>
      <c r="I108" s="527">
        <f t="shared" si="4"/>
        <v>0</v>
      </c>
      <c r="J108" s="527">
        <f t="shared" si="5"/>
        <v>45100.840336134454</v>
      </c>
    </row>
    <row r="109" spans="1:10" s="104" customFormat="1" ht="17.25" customHeight="1">
      <c r="A109" s="394">
        <v>45929</v>
      </c>
      <c r="B109" s="395" t="s">
        <v>411</v>
      </c>
      <c r="C109" s="407">
        <v>90032709</v>
      </c>
      <c r="D109" s="402" t="s">
        <v>508</v>
      </c>
      <c r="E109" s="403" t="s">
        <v>541</v>
      </c>
      <c r="F109" s="404" t="s">
        <v>542</v>
      </c>
      <c r="G109" s="589">
        <v>2000</v>
      </c>
      <c r="H109" s="406"/>
      <c r="I109" s="527">
        <f t="shared" si="4"/>
        <v>1680.6722689075632</v>
      </c>
      <c r="J109" s="527">
        <f t="shared" si="5"/>
        <v>0</v>
      </c>
    </row>
    <row r="110" spans="1:10" ht="14">
      <c r="A110" s="394">
        <v>45929</v>
      </c>
      <c r="B110" s="395" t="s">
        <v>411</v>
      </c>
      <c r="C110" s="407">
        <v>31293417</v>
      </c>
      <c r="D110" s="402" t="s">
        <v>508</v>
      </c>
      <c r="E110" s="403" t="s">
        <v>439</v>
      </c>
      <c r="F110" s="404" t="s">
        <v>543</v>
      </c>
      <c r="G110" s="589">
        <v>4500</v>
      </c>
      <c r="H110" s="406"/>
      <c r="I110" s="527">
        <f t="shared" si="4"/>
        <v>3781.5126050420172</v>
      </c>
      <c r="J110" s="527">
        <f t="shared" si="5"/>
        <v>0</v>
      </c>
    </row>
    <row r="111" spans="1:10" ht="14">
      <c r="A111" s="394">
        <v>45882</v>
      </c>
      <c r="B111" s="395" t="s">
        <v>411</v>
      </c>
      <c r="C111" s="407">
        <v>1680608</v>
      </c>
      <c r="D111" s="402" t="s">
        <v>508</v>
      </c>
      <c r="E111" s="403" t="s">
        <v>501</v>
      </c>
      <c r="F111" s="404" t="s">
        <v>502</v>
      </c>
      <c r="G111" s="589">
        <v>8700</v>
      </c>
      <c r="H111" s="406"/>
      <c r="I111" s="527">
        <f t="shared" si="4"/>
        <v>7310.9243697478996</v>
      </c>
      <c r="J111" s="527">
        <f t="shared" si="5"/>
        <v>0</v>
      </c>
    </row>
    <row r="112" spans="1:10" ht="14">
      <c r="A112" s="394">
        <v>45924</v>
      </c>
      <c r="B112" s="395" t="s">
        <v>411</v>
      </c>
      <c r="C112" s="407">
        <v>1683954</v>
      </c>
      <c r="D112" s="402" t="s">
        <v>508</v>
      </c>
      <c r="E112" s="403" t="s">
        <v>501</v>
      </c>
      <c r="F112" s="404" t="s">
        <v>502</v>
      </c>
      <c r="G112" s="589">
        <v>6650</v>
      </c>
      <c r="H112" s="406"/>
      <c r="I112" s="527">
        <f t="shared" si="4"/>
        <v>5588.2352941176478</v>
      </c>
      <c r="J112" s="527">
        <f t="shared" si="5"/>
        <v>0</v>
      </c>
    </row>
    <row r="113" spans="1:11" ht="14">
      <c r="A113" s="394">
        <v>45929</v>
      </c>
      <c r="B113" s="395" t="s">
        <v>396</v>
      </c>
      <c r="C113" s="407">
        <v>142559964</v>
      </c>
      <c r="D113" s="402" t="s">
        <v>544</v>
      </c>
      <c r="E113" s="403" t="s">
        <v>419</v>
      </c>
      <c r="F113" s="404" t="s">
        <v>509</v>
      </c>
      <c r="G113" s="589"/>
      <c r="H113" s="406">
        <v>13004</v>
      </c>
      <c r="I113" s="527">
        <f t="shared" si="4"/>
        <v>0</v>
      </c>
      <c r="J113" s="527">
        <f t="shared" si="5"/>
        <v>10927.731092436976</v>
      </c>
    </row>
    <row r="114" spans="1:11" ht="14">
      <c r="A114" s="394">
        <v>45929</v>
      </c>
      <c r="B114" s="395" t="s">
        <v>396</v>
      </c>
      <c r="C114" s="407">
        <v>142033477</v>
      </c>
      <c r="D114" s="402" t="s">
        <v>544</v>
      </c>
      <c r="E114" s="403" t="s">
        <v>419</v>
      </c>
      <c r="F114" s="404" t="s">
        <v>509</v>
      </c>
      <c r="G114" s="589"/>
      <c r="H114" s="406">
        <v>12319</v>
      </c>
      <c r="I114" s="527">
        <f t="shared" si="4"/>
        <v>0</v>
      </c>
      <c r="J114" s="527">
        <f t="shared" si="5"/>
        <v>10352.100840336136</v>
      </c>
    </row>
    <row r="115" spans="1:11" ht="14">
      <c r="A115" s="394">
        <v>45929</v>
      </c>
      <c r="B115" s="395" t="s">
        <v>411</v>
      </c>
      <c r="C115" s="407"/>
      <c r="D115" s="402" t="s">
        <v>545</v>
      </c>
      <c r="E115" s="403" t="s">
        <v>546</v>
      </c>
      <c r="F115" s="404" t="s">
        <v>547</v>
      </c>
      <c r="G115" s="589">
        <v>8000</v>
      </c>
      <c r="H115" s="406"/>
    </row>
    <row r="118" spans="1:11">
      <c r="I118" s="527">
        <f>G105/1.19</f>
        <v>0</v>
      </c>
      <c r="J118" s="527">
        <f>H105/1.19</f>
        <v>10058.823529411766</v>
      </c>
      <c r="K118" s="104"/>
    </row>
    <row r="119" spans="1:11">
      <c r="I119" s="527">
        <f>G106/1.19</f>
        <v>0</v>
      </c>
      <c r="J119" s="527">
        <f>H106/1.19</f>
        <v>9406.7226890756301</v>
      </c>
      <c r="K119" s="104"/>
    </row>
    <row r="120" spans="1:11" ht="15">
      <c r="I120" s="413" t="s">
        <v>71</v>
      </c>
      <c r="J120" s="414" t="s">
        <v>72</v>
      </c>
      <c r="K120" s="104"/>
    </row>
    <row r="121" spans="1:11" ht="16">
      <c r="I121" s="415">
        <f>SUM(I23:I119)</f>
        <v>300021.00840336131</v>
      </c>
      <c r="J121" s="415">
        <f>SUM(J23:J119)</f>
        <v>802757.9831932775</v>
      </c>
      <c r="K121" s="104"/>
    </row>
    <row r="122" spans="1:11">
      <c r="I122" s="104"/>
      <c r="J122" s="528">
        <f>SUM(I121:J121)</f>
        <v>1102778.9915966387</v>
      </c>
      <c r="K122" s="104" t="s">
        <v>38</v>
      </c>
    </row>
  </sheetData>
  <mergeCells count="3">
    <mergeCell ref="A1:C8"/>
    <mergeCell ref="D2:G3"/>
    <mergeCell ref="D19:G20"/>
  </mergeCells>
  <phoneticPr fontId="11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shapeId="13313" r:id="rId3">
          <objectPr defaultSize="0" autoPict="0" r:id="rId4">
            <anchor moveWithCells="1" sizeWithCells="1">
              <from>
                <xdr:col>0</xdr:col>
                <xdr:colOff>165100</xdr:colOff>
                <xdr:row>25</xdr:row>
                <xdr:rowOff>0</xdr:rowOff>
              </from>
              <to>
                <xdr:col>3</xdr:col>
                <xdr:colOff>444500</xdr:colOff>
                <xdr:row>25</xdr:row>
                <xdr:rowOff>0</xdr:rowOff>
              </to>
            </anchor>
          </objectPr>
        </oleObject>
      </mc:Choice>
      <mc:Fallback>
        <oleObject shapeId="13313" r:id="rId3"/>
      </mc:Fallback>
    </mc:AlternateContent>
    <mc:AlternateContent xmlns:mc="http://schemas.openxmlformats.org/markup-compatibility/2006">
      <mc:Choice Requires="x14">
        <oleObject shapeId="13314" r:id="rId5">
          <objectPr defaultSize="0" autoPict="0" r:id="rId4">
            <anchor moveWithCells="1" sizeWithCells="1">
              <from>
                <xdr:col>0</xdr:col>
                <xdr:colOff>165100</xdr:colOff>
                <xdr:row>25</xdr:row>
                <xdr:rowOff>0</xdr:rowOff>
              </from>
              <to>
                <xdr:col>3</xdr:col>
                <xdr:colOff>444500</xdr:colOff>
                <xdr:row>25</xdr:row>
                <xdr:rowOff>0</xdr:rowOff>
              </to>
            </anchor>
          </objectPr>
        </oleObject>
      </mc:Choice>
      <mc:Fallback>
        <oleObject shapeId="13314" r:id="rId5"/>
      </mc:Fallback>
    </mc:AlternateContent>
    <mc:AlternateContent xmlns:mc="http://schemas.openxmlformats.org/markup-compatibility/2006">
      <mc:Choice Requires="x14">
        <oleObject shapeId="13315" r:id="rId6">
          <objectPr defaultSize="0" autoPict="0" r:id="rId4">
            <anchor moveWithCells="1" sizeWithCells="1">
              <from>
                <xdr:col>0</xdr:col>
                <xdr:colOff>165100</xdr:colOff>
                <xdr:row>25</xdr:row>
                <xdr:rowOff>0</xdr:rowOff>
              </from>
              <to>
                <xdr:col>3</xdr:col>
                <xdr:colOff>444500</xdr:colOff>
                <xdr:row>25</xdr:row>
                <xdr:rowOff>0</xdr:rowOff>
              </to>
            </anchor>
          </objectPr>
        </oleObject>
      </mc:Choice>
      <mc:Fallback>
        <oleObject shapeId="13315" r:id="rId6"/>
      </mc:Fallback>
    </mc:AlternateContent>
    <mc:AlternateContent xmlns:mc="http://schemas.openxmlformats.org/markup-compatibility/2006">
      <mc:Choice Requires="x14">
        <oleObject shapeId="13316" r:id="rId7">
          <objectPr defaultSize="0" autoPict="0" r:id="rId4">
            <anchor moveWithCells="1" sizeWithCells="1">
              <from>
                <xdr:col>2</xdr:col>
                <xdr:colOff>254000</xdr:colOff>
                <xdr:row>25</xdr:row>
                <xdr:rowOff>0</xdr:rowOff>
              </from>
              <to>
                <xdr:col>4</xdr:col>
                <xdr:colOff>2019300</xdr:colOff>
                <xdr:row>25</xdr:row>
                <xdr:rowOff>0</xdr:rowOff>
              </to>
            </anchor>
          </objectPr>
        </oleObject>
      </mc:Choice>
      <mc:Fallback>
        <oleObject shapeId="13316" r:id="rId7"/>
      </mc:Fallback>
    </mc:AlternateContent>
    <mc:AlternateContent xmlns:mc="http://schemas.openxmlformats.org/markup-compatibility/2006">
      <mc:Choice Requires="x14">
        <oleObject shapeId="13317" r:id="rId8">
          <objectPr defaultSize="0" autoPict="0" r:id="rId4">
            <anchor moveWithCells="1" sizeWithCells="1">
              <from>
                <xdr:col>0</xdr:col>
                <xdr:colOff>165100</xdr:colOff>
                <xdr:row>25</xdr:row>
                <xdr:rowOff>0</xdr:rowOff>
              </from>
              <to>
                <xdr:col>3</xdr:col>
                <xdr:colOff>444500</xdr:colOff>
                <xdr:row>25</xdr:row>
                <xdr:rowOff>0</xdr:rowOff>
              </to>
            </anchor>
          </objectPr>
        </oleObject>
      </mc:Choice>
      <mc:Fallback>
        <oleObject shapeId="13317" r:id="rId8"/>
      </mc:Fallback>
    </mc:AlternateContent>
    <mc:AlternateContent xmlns:mc="http://schemas.openxmlformats.org/markup-compatibility/2006">
      <mc:Choice Requires="x14">
        <oleObject shapeId="13318" r:id="rId9">
          <objectPr defaultSize="0" autoPict="0" r:id="rId4">
            <anchor moveWithCells="1" sizeWithCells="1">
              <from>
                <xdr:col>0</xdr:col>
                <xdr:colOff>165100</xdr:colOff>
                <xdr:row>25</xdr:row>
                <xdr:rowOff>0</xdr:rowOff>
              </from>
              <to>
                <xdr:col>3</xdr:col>
                <xdr:colOff>444500</xdr:colOff>
                <xdr:row>25</xdr:row>
                <xdr:rowOff>0</xdr:rowOff>
              </to>
            </anchor>
          </objectPr>
        </oleObject>
      </mc:Choice>
      <mc:Fallback>
        <oleObject shapeId="13318" r:id="rId9"/>
      </mc:Fallback>
    </mc:AlternateContent>
    <mc:AlternateContent xmlns:mc="http://schemas.openxmlformats.org/markup-compatibility/2006">
      <mc:Choice Requires="x14">
        <oleObject shapeId="13319" r:id="rId10">
          <objectPr defaultSize="0" autoPict="0" r:id="rId4">
            <anchor moveWithCells="1" sizeWithCells="1">
              <from>
                <xdr:col>0</xdr:col>
                <xdr:colOff>165100</xdr:colOff>
                <xdr:row>25</xdr:row>
                <xdr:rowOff>0</xdr:rowOff>
              </from>
              <to>
                <xdr:col>3</xdr:col>
                <xdr:colOff>444500</xdr:colOff>
                <xdr:row>25</xdr:row>
                <xdr:rowOff>0</xdr:rowOff>
              </to>
            </anchor>
          </objectPr>
        </oleObject>
      </mc:Choice>
      <mc:Fallback>
        <oleObject shapeId="13319" r:id="rId10"/>
      </mc:Fallback>
    </mc:AlternateContent>
    <mc:AlternateContent xmlns:mc="http://schemas.openxmlformats.org/markup-compatibility/2006">
      <mc:Choice Requires="x14">
        <oleObject shapeId="13320" r:id="rId11">
          <objectPr defaultSize="0" autoPict="0" r:id="rId4">
            <anchor moveWithCells="1" sizeWithCells="1">
              <from>
                <xdr:col>2</xdr:col>
                <xdr:colOff>254000</xdr:colOff>
                <xdr:row>25</xdr:row>
                <xdr:rowOff>0</xdr:rowOff>
              </from>
              <to>
                <xdr:col>4</xdr:col>
                <xdr:colOff>2019300</xdr:colOff>
                <xdr:row>25</xdr:row>
                <xdr:rowOff>0</xdr:rowOff>
              </to>
            </anchor>
          </objectPr>
        </oleObject>
      </mc:Choice>
      <mc:Fallback>
        <oleObject shapeId="13320" r:id="rId11"/>
      </mc:Fallback>
    </mc:AlternateContent>
    <mc:AlternateContent xmlns:mc="http://schemas.openxmlformats.org/markup-compatibility/2006">
      <mc:Choice Requires="x14">
        <oleObject shapeId="13329" r:id="rId12">
          <objectPr defaultSize="0" autoPict="0" r:id="rId4">
            <anchor moveWithCells="1" sizeWithCells="1">
              <from>
                <xdr:col>0</xdr:col>
                <xdr:colOff>165100</xdr:colOff>
                <xdr:row>107</xdr:row>
                <xdr:rowOff>0</xdr:rowOff>
              </from>
              <to>
                <xdr:col>3</xdr:col>
                <xdr:colOff>444500</xdr:colOff>
                <xdr:row>107</xdr:row>
                <xdr:rowOff>0</xdr:rowOff>
              </to>
            </anchor>
          </objectPr>
        </oleObject>
      </mc:Choice>
      <mc:Fallback>
        <oleObject shapeId="13329" r:id="rId12"/>
      </mc:Fallback>
    </mc:AlternateContent>
    <mc:AlternateContent xmlns:mc="http://schemas.openxmlformats.org/markup-compatibility/2006">
      <mc:Choice Requires="x14">
        <oleObject shapeId="13330" r:id="rId13">
          <objectPr defaultSize="0" autoPict="0" r:id="rId4">
            <anchor moveWithCells="1" sizeWithCells="1">
              <from>
                <xdr:col>0</xdr:col>
                <xdr:colOff>165100</xdr:colOff>
                <xdr:row>107</xdr:row>
                <xdr:rowOff>0</xdr:rowOff>
              </from>
              <to>
                <xdr:col>3</xdr:col>
                <xdr:colOff>444500</xdr:colOff>
                <xdr:row>107</xdr:row>
                <xdr:rowOff>0</xdr:rowOff>
              </to>
            </anchor>
          </objectPr>
        </oleObject>
      </mc:Choice>
      <mc:Fallback>
        <oleObject shapeId="13330" r:id="rId13"/>
      </mc:Fallback>
    </mc:AlternateContent>
    <mc:AlternateContent xmlns:mc="http://schemas.openxmlformats.org/markup-compatibility/2006">
      <mc:Choice Requires="x14">
        <oleObject shapeId="13331" r:id="rId14">
          <objectPr defaultSize="0" autoPict="0" r:id="rId4">
            <anchor moveWithCells="1" sizeWithCells="1">
              <from>
                <xdr:col>0</xdr:col>
                <xdr:colOff>165100</xdr:colOff>
                <xdr:row>107</xdr:row>
                <xdr:rowOff>0</xdr:rowOff>
              </from>
              <to>
                <xdr:col>3</xdr:col>
                <xdr:colOff>444500</xdr:colOff>
                <xdr:row>107</xdr:row>
                <xdr:rowOff>0</xdr:rowOff>
              </to>
            </anchor>
          </objectPr>
        </oleObject>
      </mc:Choice>
      <mc:Fallback>
        <oleObject shapeId="13331" r:id="rId14"/>
      </mc:Fallback>
    </mc:AlternateContent>
    <mc:AlternateContent xmlns:mc="http://schemas.openxmlformats.org/markup-compatibility/2006">
      <mc:Choice Requires="x14">
        <oleObject shapeId="13332" r:id="rId15">
          <objectPr defaultSize="0" autoPict="0" r:id="rId4">
            <anchor moveWithCells="1" sizeWithCells="1">
              <from>
                <xdr:col>2</xdr:col>
                <xdr:colOff>254000</xdr:colOff>
                <xdr:row>107</xdr:row>
                <xdr:rowOff>0</xdr:rowOff>
              </from>
              <to>
                <xdr:col>5</xdr:col>
                <xdr:colOff>0</xdr:colOff>
                <xdr:row>107</xdr:row>
                <xdr:rowOff>0</xdr:rowOff>
              </to>
            </anchor>
          </objectPr>
        </oleObject>
      </mc:Choice>
      <mc:Fallback>
        <oleObject shapeId="13332" r:id="rId15"/>
      </mc:Fallback>
    </mc:AlternateContent>
    <mc:AlternateContent xmlns:mc="http://schemas.openxmlformats.org/markup-compatibility/2006">
      <mc:Choice Requires="x14">
        <oleObject shapeId="13333" r:id="rId16">
          <objectPr defaultSize="0" autoPict="0" r:id="rId4">
            <anchor moveWithCells="1" sizeWithCells="1">
              <from>
                <xdr:col>0</xdr:col>
                <xdr:colOff>165100</xdr:colOff>
                <xdr:row>25</xdr:row>
                <xdr:rowOff>0</xdr:rowOff>
              </from>
              <to>
                <xdr:col>3</xdr:col>
                <xdr:colOff>444500</xdr:colOff>
                <xdr:row>25</xdr:row>
                <xdr:rowOff>0</xdr:rowOff>
              </to>
            </anchor>
          </objectPr>
        </oleObject>
      </mc:Choice>
      <mc:Fallback>
        <oleObject shapeId="13333" r:id="rId16"/>
      </mc:Fallback>
    </mc:AlternateContent>
    <mc:AlternateContent xmlns:mc="http://schemas.openxmlformats.org/markup-compatibility/2006">
      <mc:Choice Requires="x14">
        <oleObject shapeId="13334" r:id="rId17">
          <objectPr defaultSize="0" autoPict="0" r:id="rId4">
            <anchor moveWithCells="1" sizeWithCells="1">
              <from>
                <xdr:col>0</xdr:col>
                <xdr:colOff>165100</xdr:colOff>
                <xdr:row>25</xdr:row>
                <xdr:rowOff>0</xdr:rowOff>
              </from>
              <to>
                <xdr:col>3</xdr:col>
                <xdr:colOff>444500</xdr:colOff>
                <xdr:row>25</xdr:row>
                <xdr:rowOff>0</xdr:rowOff>
              </to>
            </anchor>
          </objectPr>
        </oleObject>
      </mc:Choice>
      <mc:Fallback>
        <oleObject shapeId="13334" r:id="rId17"/>
      </mc:Fallback>
    </mc:AlternateContent>
    <mc:AlternateContent xmlns:mc="http://schemas.openxmlformats.org/markup-compatibility/2006">
      <mc:Choice Requires="x14">
        <oleObject shapeId="13335" r:id="rId18">
          <objectPr defaultSize="0" autoPict="0" r:id="rId4">
            <anchor moveWithCells="1" sizeWithCells="1">
              <from>
                <xdr:col>0</xdr:col>
                <xdr:colOff>165100</xdr:colOff>
                <xdr:row>25</xdr:row>
                <xdr:rowOff>0</xdr:rowOff>
              </from>
              <to>
                <xdr:col>3</xdr:col>
                <xdr:colOff>444500</xdr:colOff>
                <xdr:row>25</xdr:row>
                <xdr:rowOff>0</xdr:rowOff>
              </to>
            </anchor>
          </objectPr>
        </oleObject>
      </mc:Choice>
      <mc:Fallback>
        <oleObject shapeId="13335" r:id="rId18"/>
      </mc:Fallback>
    </mc:AlternateContent>
    <mc:AlternateContent xmlns:mc="http://schemas.openxmlformats.org/markup-compatibility/2006">
      <mc:Choice Requires="x14">
        <oleObject shapeId="13336" r:id="rId19">
          <objectPr defaultSize="0" autoPict="0" r:id="rId4">
            <anchor moveWithCells="1" sizeWithCells="1">
              <from>
                <xdr:col>2</xdr:col>
                <xdr:colOff>254000</xdr:colOff>
                <xdr:row>25</xdr:row>
                <xdr:rowOff>0</xdr:rowOff>
              </from>
              <to>
                <xdr:col>4</xdr:col>
                <xdr:colOff>2019300</xdr:colOff>
                <xdr:row>25</xdr:row>
                <xdr:rowOff>0</xdr:rowOff>
              </to>
            </anchor>
          </objectPr>
        </oleObject>
      </mc:Choice>
      <mc:Fallback>
        <oleObject shapeId="13336" r:id="rId19"/>
      </mc:Fallback>
    </mc:AlternateContent>
    <mc:AlternateContent xmlns:mc="http://schemas.openxmlformats.org/markup-compatibility/2006">
      <mc:Choice Requires="x14">
        <oleObject shapeId="13337" r:id="rId20">
          <objectPr defaultSize="0" autoPict="0" r:id="rId4">
            <anchor moveWithCells="1" sizeWithCells="1">
              <from>
                <xdr:col>0</xdr:col>
                <xdr:colOff>165100</xdr:colOff>
                <xdr:row>25</xdr:row>
                <xdr:rowOff>0</xdr:rowOff>
              </from>
              <to>
                <xdr:col>3</xdr:col>
                <xdr:colOff>444500</xdr:colOff>
                <xdr:row>25</xdr:row>
                <xdr:rowOff>0</xdr:rowOff>
              </to>
            </anchor>
          </objectPr>
        </oleObject>
      </mc:Choice>
      <mc:Fallback>
        <oleObject shapeId="13337" r:id="rId20"/>
      </mc:Fallback>
    </mc:AlternateContent>
    <mc:AlternateContent xmlns:mc="http://schemas.openxmlformats.org/markup-compatibility/2006">
      <mc:Choice Requires="x14">
        <oleObject shapeId="13338" r:id="rId21">
          <objectPr defaultSize="0" autoPict="0" r:id="rId4">
            <anchor moveWithCells="1" sizeWithCells="1">
              <from>
                <xdr:col>0</xdr:col>
                <xdr:colOff>165100</xdr:colOff>
                <xdr:row>25</xdr:row>
                <xdr:rowOff>0</xdr:rowOff>
              </from>
              <to>
                <xdr:col>3</xdr:col>
                <xdr:colOff>444500</xdr:colOff>
                <xdr:row>25</xdr:row>
                <xdr:rowOff>0</xdr:rowOff>
              </to>
            </anchor>
          </objectPr>
        </oleObject>
      </mc:Choice>
      <mc:Fallback>
        <oleObject shapeId="13338" r:id="rId21"/>
      </mc:Fallback>
    </mc:AlternateContent>
    <mc:AlternateContent xmlns:mc="http://schemas.openxmlformats.org/markup-compatibility/2006">
      <mc:Choice Requires="x14">
        <oleObject shapeId="13339" r:id="rId22">
          <objectPr defaultSize="0" autoPict="0" r:id="rId4">
            <anchor moveWithCells="1" sizeWithCells="1">
              <from>
                <xdr:col>0</xdr:col>
                <xdr:colOff>165100</xdr:colOff>
                <xdr:row>25</xdr:row>
                <xdr:rowOff>0</xdr:rowOff>
              </from>
              <to>
                <xdr:col>3</xdr:col>
                <xdr:colOff>444500</xdr:colOff>
                <xdr:row>25</xdr:row>
                <xdr:rowOff>0</xdr:rowOff>
              </to>
            </anchor>
          </objectPr>
        </oleObject>
      </mc:Choice>
      <mc:Fallback>
        <oleObject shapeId="13339" r:id="rId22"/>
      </mc:Fallback>
    </mc:AlternateContent>
    <mc:AlternateContent xmlns:mc="http://schemas.openxmlformats.org/markup-compatibility/2006">
      <mc:Choice Requires="x14">
        <oleObject shapeId="13340" r:id="rId23">
          <objectPr defaultSize="0" autoPict="0" r:id="rId4">
            <anchor moveWithCells="1" sizeWithCells="1">
              <from>
                <xdr:col>2</xdr:col>
                <xdr:colOff>254000</xdr:colOff>
                <xdr:row>25</xdr:row>
                <xdr:rowOff>0</xdr:rowOff>
              </from>
              <to>
                <xdr:col>4</xdr:col>
                <xdr:colOff>2019300</xdr:colOff>
                <xdr:row>25</xdr:row>
                <xdr:rowOff>0</xdr:rowOff>
              </to>
            </anchor>
          </objectPr>
        </oleObject>
      </mc:Choice>
      <mc:Fallback>
        <oleObject shapeId="13340" r:id="rId23"/>
      </mc:Fallback>
    </mc:AlternateContent>
    <mc:AlternateContent xmlns:mc="http://schemas.openxmlformats.org/markup-compatibility/2006">
      <mc:Choice Requires="x14">
        <oleObject shapeId="13341" r:id="rId24">
          <objectPr defaultSize="0" autoPict="0" r:id="rId4">
            <anchor moveWithCells="1" sizeWithCells="1">
              <from>
                <xdr:col>0</xdr:col>
                <xdr:colOff>165100</xdr:colOff>
                <xdr:row>106</xdr:row>
                <xdr:rowOff>0</xdr:rowOff>
              </from>
              <to>
                <xdr:col>3</xdr:col>
                <xdr:colOff>444500</xdr:colOff>
                <xdr:row>106</xdr:row>
                <xdr:rowOff>0</xdr:rowOff>
              </to>
            </anchor>
          </objectPr>
        </oleObject>
      </mc:Choice>
      <mc:Fallback>
        <oleObject shapeId="13341" r:id="rId24"/>
      </mc:Fallback>
    </mc:AlternateContent>
    <mc:AlternateContent xmlns:mc="http://schemas.openxmlformats.org/markup-compatibility/2006">
      <mc:Choice Requires="x14">
        <oleObject shapeId="13342" r:id="rId25">
          <objectPr defaultSize="0" autoPict="0" r:id="rId4">
            <anchor moveWithCells="1" sizeWithCells="1">
              <from>
                <xdr:col>0</xdr:col>
                <xdr:colOff>165100</xdr:colOff>
                <xdr:row>106</xdr:row>
                <xdr:rowOff>0</xdr:rowOff>
              </from>
              <to>
                <xdr:col>3</xdr:col>
                <xdr:colOff>444500</xdr:colOff>
                <xdr:row>106</xdr:row>
                <xdr:rowOff>0</xdr:rowOff>
              </to>
            </anchor>
          </objectPr>
        </oleObject>
      </mc:Choice>
      <mc:Fallback>
        <oleObject shapeId="13342" r:id="rId25"/>
      </mc:Fallback>
    </mc:AlternateContent>
    <mc:AlternateContent xmlns:mc="http://schemas.openxmlformats.org/markup-compatibility/2006">
      <mc:Choice Requires="x14">
        <oleObject shapeId="13343" r:id="rId26">
          <objectPr defaultSize="0" autoPict="0" r:id="rId4">
            <anchor moveWithCells="1" sizeWithCells="1">
              <from>
                <xdr:col>0</xdr:col>
                <xdr:colOff>165100</xdr:colOff>
                <xdr:row>106</xdr:row>
                <xdr:rowOff>0</xdr:rowOff>
              </from>
              <to>
                <xdr:col>3</xdr:col>
                <xdr:colOff>444500</xdr:colOff>
                <xdr:row>106</xdr:row>
                <xdr:rowOff>0</xdr:rowOff>
              </to>
            </anchor>
          </objectPr>
        </oleObject>
      </mc:Choice>
      <mc:Fallback>
        <oleObject shapeId="13343" r:id="rId26"/>
      </mc:Fallback>
    </mc:AlternateContent>
    <mc:AlternateContent xmlns:mc="http://schemas.openxmlformats.org/markup-compatibility/2006">
      <mc:Choice Requires="x14">
        <oleObject shapeId="13344" r:id="rId27">
          <objectPr defaultSize="0" autoPict="0" r:id="rId4">
            <anchor moveWithCells="1" sizeWithCells="1">
              <from>
                <xdr:col>2</xdr:col>
                <xdr:colOff>254000</xdr:colOff>
                <xdr:row>106</xdr:row>
                <xdr:rowOff>0</xdr:rowOff>
              </from>
              <to>
                <xdr:col>5</xdr:col>
                <xdr:colOff>0</xdr:colOff>
                <xdr:row>106</xdr:row>
                <xdr:rowOff>0</xdr:rowOff>
              </to>
            </anchor>
          </objectPr>
        </oleObject>
      </mc:Choice>
      <mc:Fallback>
        <oleObject shapeId="13344" r:id="rId27"/>
      </mc:Fallback>
    </mc:AlternateContent>
    <mc:AlternateContent xmlns:mc="http://schemas.openxmlformats.org/markup-compatibility/2006">
      <mc:Choice Requires="x14">
        <oleObject shapeId="13345" r:id="rId28">
          <objectPr defaultSize="0" autoPict="0" r:id="rId4">
            <anchor moveWithCells="1" sizeWithCells="1">
              <from>
                <xdr:col>0</xdr:col>
                <xdr:colOff>165100</xdr:colOff>
                <xdr:row>69</xdr:row>
                <xdr:rowOff>0</xdr:rowOff>
              </from>
              <to>
                <xdr:col>3</xdr:col>
                <xdr:colOff>444500</xdr:colOff>
                <xdr:row>69</xdr:row>
                <xdr:rowOff>0</xdr:rowOff>
              </to>
            </anchor>
          </objectPr>
        </oleObject>
      </mc:Choice>
      <mc:Fallback>
        <oleObject shapeId="13345" r:id="rId28"/>
      </mc:Fallback>
    </mc:AlternateContent>
    <mc:AlternateContent xmlns:mc="http://schemas.openxmlformats.org/markup-compatibility/2006">
      <mc:Choice Requires="x14">
        <oleObject shapeId="13346" r:id="rId29">
          <objectPr defaultSize="0" autoPict="0" r:id="rId4">
            <anchor moveWithCells="1" sizeWithCells="1">
              <from>
                <xdr:col>0</xdr:col>
                <xdr:colOff>165100</xdr:colOff>
                <xdr:row>69</xdr:row>
                <xdr:rowOff>0</xdr:rowOff>
              </from>
              <to>
                <xdr:col>3</xdr:col>
                <xdr:colOff>444500</xdr:colOff>
                <xdr:row>69</xdr:row>
                <xdr:rowOff>0</xdr:rowOff>
              </to>
            </anchor>
          </objectPr>
        </oleObject>
      </mc:Choice>
      <mc:Fallback>
        <oleObject shapeId="13346" r:id="rId29"/>
      </mc:Fallback>
    </mc:AlternateContent>
    <mc:AlternateContent xmlns:mc="http://schemas.openxmlformats.org/markup-compatibility/2006">
      <mc:Choice Requires="x14">
        <oleObject shapeId="13347" r:id="rId30">
          <objectPr defaultSize="0" autoPict="0" r:id="rId4">
            <anchor moveWithCells="1" sizeWithCells="1">
              <from>
                <xdr:col>0</xdr:col>
                <xdr:colOff>165100</xdr:colOff>
                <xdr:row>69</xdr:row>
                <xdr:rowOff>0</xdr:rowOff>
              </from>
              <to>
                <xdr:col>3</xdr:col>
                <xdr:colOff>444500</xdr:colOff>
                <xdr:row>69</xdr:row>
                <xdr:rowOff>0</xdr:rowOff>
              </to>
            </anchor>
          </objectPr>
        </oleObject>
      </mc:Choice>
      <mc:Fallback>
        <oleObject shapeId="13347" r:id="rId30"/>
      </mc:Fallback>
    </mc:AlternateContent>
    <mc:AlternateContent xmlns:mc="http://schemas.openxmlformats.org/markup-compatibility/2006">
      <mc:Choice Requires="x14">
        <oleObject shapeId="13348" r:id="rId31">
          <objectPr defaultSize="0" autoPict="0" r:id="rId4">
            <anchor moveWithCells="1" sizeWithCells="1">
              <from>
                <xdr:col>2</xdr:col>
                <xdr:colOff>254000</xdr:colOff>
                <xdr:row>69</xdr:row>
                <xdr:rowOff>0</xdr:rowOff>
              </from>
              <to>
                <xdr:col>4</xdr:col>
                <xdr:colOff>2019300</xdr:colOff>
                <xdr:row>69</xdr:row>
                <xdr:rowOff>0</xdr:rowOff>
              </to>
            </anchor>
          </objectPr>
        </oleObject>
      </mc:Choice>
      <mc:Fallback>
        <oleObject shapeId="13348" r:id="rId31"/>
      </mc:Fallback>
    </mc:AlternateContent>
    <mc:AlternateContent xmlns:mc="http://schemas.openxmlformats.org/markup-compatibility/2006">
      <mc:Choice Requires="x14">
        <oleObject shapeId="13349" r:id="rId32">
          <objectPr defaultSize="0" autoPict="0" r:id="rId4">
            <anchor moveWithCells="1" sizeWithCells="1">
              <from>
                <xdr:col>0</xdr:col>
                <xdr:colOff>165100</xdr:colOff>
                <xdr:row>69</xdr:row>
                <xdr:rowOff>0</xdr:rowOff>
              </from>
              <to>
                <xdr:col>3</xdr:col>
                <xdr:colOff>444500</xdr:colOff>
                <xdr:row>69</xdr:row>
                <xdr:rowOff>0</xdr:rowOff>
              </to>
            </anchor>
          </objectPr>
        </oleObject>
      </mc:Choice>
      <mc:Fallback>
        <oleObject shapeId="13349" r:id="rId32"/>
      </mc:Fallback>
    </mc:AlternateContent>
    <mc:AlternateContent xmlns:mc="http://schemas.openxmlformats.org/markup-compatibility/2006">
      <mc:Choice Requires="x14">
        <oleObject shapeId="13350" r:id="rId33">
          <objectPr defaultSize="0" autoPict="0" r:id="rId4">
            <anchor moveWithCells="1" sizeWithCells="1">
              <from>
                <xdr:col>0</xdr:col>
                <xdr:colOff>165100</xdr:colOff>
                <xdr:row>69</xdr:row>
                <xdr:rowOff>0</xdr:rowOff>
              </from>
              <to>
                <xdr:col>3</xdr:col>
                <xdr:colOff>444500</xdr:colOff>
                <xdr:row>69</xdr:row>
                <xdr:rowOff>0</xdr:rowOff>
              </to>
            </anchor>
          </objectPr>
        </oleObject>
      </mc:Choice>
      <mc:Fallback>
        <oleObject shapeId="13350" r:id="rId33"/>
      </mc:Fallback>
    </mc:AlternateContent>
    <mc:AlternateContent xmlns:mc="http://schemas.openxmlformats.org/markup-compatibility/2006">
      <mc:Choice Requires="x14">
        <oleObject shapeId="13351" r:id="rId34">
          <objectPr defaultSize="0" autoPict="0" r:id="rId4">
            <anchor moveWithCells="1" sizeWithCells="1">
              <from>
                <xdr:col>0</xdr:col>
                <xdr:colOff>165100</xdr:colOff>
                <xdr:row>69</xdr:row>
                <xdr:rowOff>0</xdr:rowOff>
              </from>
              <to>
                <xdr:col>3</xdr:col>
                <xdr:colOff>444500</xdr:colOff>
                <xdr:row>69</xdr:row>
                <xdr:rowOff>0</xdr:rowOff>
              </to>
            </anchor>
          </objectPr>
        </oleObject>
      </mc:Choice>
      <mc:Fallback>
        <oleObject shapeId="13351" r:id="rId34"/>
      </mc:Fallback>
    </mc:AlternateContent>
    <mc:AlternateContent xmlns:mc="http://schemas.openxmlformats.org/markup-compatibility/2006">
      <mc:Choice Requires="x14">
        <oleObject shapeId="13352" r:id="rId35">
          <objectPr defaultSize="0" autoPict="0" r:id="rId4">
            <anchor moveWithCells="1" sizeWithCells="1">
              <from>
                <xdr:col>2</xdr:col>
                <xdr:colOff>254000</xdr:colOff>
                <xdr:row>69</xdr:row>
                <xdr:rowOff>0</xdr:rowOff>
              </from>
              <to>
                <xdr:col>4</xdr:col>
                <xdr:colOff>2019300</xdr:colOff>
                <xdr:row>69</xdr:row>
                <xdr:rowOff>0</xdr:rowOff>
              </to>
            </anchor>
          </objectPr>
        </oleObject>
      </mc:Choice>
      <mc:Fallback>
        <oleObject shapeId="13352" r:id="rId35"/>
      </mc:Fallback>
    </mc:AlternateContent>
  </oleObjec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3"/>
  <sheetViews>
    <sheetView workbookViewId="0">
      <selection activeCell="D18" sqref="D18"/>
    </sheetView>
  </sheetViews>
  <sheetFormatPr baseColWidth="10" defaultColWidth="10.83203125" defaultRowHeight="13"/>
  <cols>
    <col min="1" max="1" width="10.83203125" style="22"/>
    <col min="2" max="2" width="45.6640625" style="22" customWidth="1"/>
    <col min="3" max="3" width="27.5" style="22" customWidth="1"/>
    <col min="4" max="6" width="20.83203125" style="22" customWidth="1"/>
    <col min="7" max="16384" width="10.83203125" style="22"/>
  </cols>
  <sheetData>
    <row r="1" spans="1:7" ht="13" customHeight="1">
      <c r="A1" s="750"/>
      <c r="B1" s="737"/>
      <c r="C1" s="88"/>
    </row>
    <row r="2" spans="1:7" ht="13" customHeight="1">
      <c r="A2" s="751"/>
      <c r="B2" s="739"/>
      <c r="C2" s="721" t="s">
        <v>58</v>
      </c>
      <c r="D2" s="722"/>
      <c r="E2" s="722"/>
      <c r="F2" s="723"/>
    </row>
    <row r="3" spans="1:7" ht="13" customHeight="1">
      <c r="A3" s="751"/>
      <c r="B3" s="739"/>
      <c r="C3" s="724"/>
      <c r="D3" s="725"/>
      <c r="E3" s="725"/>
      <c r="F3" s="726"/>
    </row>
    <row r="4" spans="1:7" ht="13" customHeight="1">
      <c r="A4" s="751"/>
      <c r="B4" s="739"/>
      <c r="C4" s="88"/>
    </row>
    <row r="5" spans="1:7" ht="13" customHeight="1">
      <c r="A5" s="751"/>
      <c r="B5" s="739"/>
      <c r="C5" s="89"/>
      <c r="D5" s="28"/>
      <c r="E5" s="28"/>
      <c r="F5" s="28"/>
    </row>
    <row r="6" spans="1:7" ht="13" customHeight="1">
      <c r="A6" s="751"/>
      <c r="B6" s="738"/>
      <c r="C6" s="753" t="s">
        <v>74</v>
      </c>
      <c r="D6" s="753"/>
      <c r="E6" s="753"/>
      <c r="F6" s="753"/>
      <c r="G6" s="29"/>
    </row>
    <row r="7" spans="1:7" ht="13" customHeight="1">
      <c r="A7" s="751"/>
      <c r="B7" s="738"/>
      <c r="C7" s="753"/>
      <c r="D7" s="753"/>
      <c r="E7" s="753"/>
      <c r="F7" s="753"/>
      <c r="G7" s="29"/>
    </row>
    <row r="8" spans="1:7" ht="13" customHeight="1">
      <c r="A8" s="752"/>
      <c r="B8" s="741"/>
      <c r="C8" s="90"/>
      <c r="D8" s="32"/>
      <c r="E8" s="32"/>
      <c r="F8" s="32"/>
    </row>
    <row r="11" spans="1:7" ht="68" customHeight="1">
      <c r="A11" s="65" t="s">
        <v>2</v>
      </c>
      <c r="B11" s="65" t="s">
        <v>75</v>
      </c>
      <c r="C11" s="99" t="s">
        <v>76</v>
      </c>
      <c r="D11" s="65" t="s">
        <v>57</v>
      </c>
      <c r="E11" s="254" t="s">
        <v>79</v>
      </c>
      <c r="F11" s="29"/>
    </row>
    <row r="12" spans="1:7" ht="20" customHeight="1">
      <c r="A12" s="58">
        <v>1</v>
      </c>
      <c r="B12" s="59" t="s">
        <v>133</v>
      </c>
      <c r="C12" s="100"/>
      <c r="D12" s="231">
        <v>0</v>
      </c>
      <c r="E12" s="231"/>
      <c r="F12" s="29"/>
    </row>
    <row r="13" spans="1:7" ht="20" customHeight="1">
      <c r="A13" s="58">
        <v>2</v>
      </c>
      <c r="B13" s="59" t="s">
        <v>134</v>
      </c>
      <c r="C13" s="100"/>
      <c r="D13" s="231">
        <v>0</v>
      </c>
      <c r="E13" s="231"/>
      <c r="F13" s="29"/>
    </row>
    <row r="14" spans="1:7" ht="20" customHeight="1">
      <c r="A14" s="58">
        <v>3</v>
      </c>
      <c r="B14" s="59" t="s">
        <v>135</v>
      </c>
      <c r="C14" s="100"/>
      <c r="D14" s="231">
        <v>0</v>
      </c>
      <c r="E14" s="231"/>
      <c r="F14" s="29"/>
    </row>
    <row r="15" spans="1:7" ht="20" customHeight="1">
      <c r="A15" s="58">
        <v>4</v>
      </c>
      <c r="B15" s="59" t="s">
        <v>136</v>
      </c>
      <c r="C15" s="100"/>
      <c r="D15" s="231">
        <v>0</v>
      </c>
      <c r="E15" s="231"/>
      <c r="F15" s="29"/>
    </row>
    <row r="16" spans="1:7" ht="20" customHeight="1">
      <c r="A16" s="58">
        <v>5</v>
      </c>
      <c r="B16" s="59" t="s">
        <v>137</v>
      </c>
      <c r="C16" s="100"/>
      <c r="D16" s="231">
        <v>0</v>
      </c>
      <c r="E16" s="231"/>
      <c r="F16" s="29"/>
    </row>
    <row r="17" spans="1:6" ht="20" customHeight="1">
      <c r="A17" s="58">
        <v>6</v>
      </c>
      <c r="B17" s="59" t="s">
        <v>138</v>
      </c>
      <c r="C17" s="100"/>
      <c r="D17" s="231">
        <v>0</v>
      </c>
      <c r="E17" s="231"/>
      <c r="F17" s="29"/>
    </row>
    <row r="18" spans="1:6" ht="20" customHeight="1">
      <c r="A18" s="58">
        <v>7</v>
      </c>
      <c r="B18" s="59" t="s">
        <v>139</v>
      </c>
      <c r="C18" s="100"/>
      <c r="D18" s="419">
        <v>0</v>
      </c>
      <c r="E18" s="419"/>
      <c r="F18" s="29"/>
    </row>
    <row r="19" spans="1:6" ht="20" customHeight="1">
      <c r="A19" s="58">
        <v>8</v>
      </c>
      <c r="B19" s="59"/>
      <c r="C19" s="100"/>
      <c r="D19" s="101"/>
      <c r="E19" s="232"/>
      <c r="F19" s="29"/>
    </row>
    <row r="20" spans="1:6" ht="20" customHeight="1">
      <c r="A20" s="58">
        <v>9</v>
      </c>
      <c r="B20" s="59"/>
      <c r="C20" s="100"/>
      <c r="D20" s="101"/>
      <c r="E20" s="232"/>
      <c r="F20" s="29"/>
    </row>
    <row r="21" spans="1:6" ht="20" customHeight="1">
      <c r="A21" s="58">
        <v>10</v>
      </c>
      <c r="B21" s="59"/>
      <c r="C21" s="100"/>
      <c r="D21" s="101"/>
      <c r="E21" s="232"/>
      <c r="F21" s="29"/>
    </row>
    <row r="22" spans="1:6" ht="20" customHeight="1">
      <c r="A22" s="63"/>
      <c r="B22" s="63"/>
      <c r="C22" s="64"/>
      <c r="D22" s="102">
        <f>SUM(D12:D21)</f>
        <v>0</v>
      </c>
      <c r="E22" s="255">
        <f>SUM(E12:E21)</f>
        <v>0</v>
      </c>
      <c r="F22" s="29"/>
    </row>
    <row r="23" spans="1:6">
      <c r="D23" s="32"/>
      <c r="E23" s="32"/>
    </row>
  </sheetData>
  <mergeCells count="3">
    <mergeCell ref="A1:B8"/>
    <mergeCell ref="C2:F3"/>
    <mergeCell ref="C6:F7"/>
  </mergeCells>
  <phoneticPr fontId="1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RESUMEN</vt:lpstr>
      <vt:lpstr>Itemizado</vt:lpstr>
      <vt:lpstr>Adicionales</vt:lpstr>
      <vt:lpstr>Remuneraciones</vt:lpstr>
      <vt:lpstr>Subcontratos</vt:lpstr>
      <vt:lpstr>Sub AD</vt:lpstr>
      <vt:lpstr>Arriendos</vt:lpstr>
      <vt:lpstr>Materiales Obras</vt:lpstr>
      <vt:lpstr>Materiales Prevención</vt:lpstr>
      <vt:lpstr>Seguros</vt:lpstr>
      <vt:lpstr>Gastos Oficina</vt:lpstr>
      <vt:lpstr>MAS Herramientas</vt:lpstr>
      <vt:lpstr>Garantias</vt:lpstr>
      <vt:lpstr>Gastos Rechazado</vt:lpstr>
      <vt:lpstr>Gastos de factoring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Constructora MM</dc:creator>
  <cp:lastModifiedBy>Microsoft Office User</cp:lastModifiedBy>
  <cp:lastPrinted>2016-08-29T15:24:20Z</cp:lastPrinted>
  <dcterms:created xsi:type="dcterms:W3CDTF">2018-03-15T14:56:59Z</dcterms:created>
  <dcterms:modified xsi:type="dcterms:W3CDTF">2025-10-17T15:07:37Z</dcterms:modified>
</cp:coreProperties>
</file>